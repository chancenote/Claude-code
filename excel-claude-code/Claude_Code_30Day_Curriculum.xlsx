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Curriculum" state="visible" r:id="rId5"/>
    <sheet sheetId="3" name="Progress Tracker" state="visible" r:id="rId6"/>
    <sheet sheetId="4" name="Weekly Summary" state="visible" r:id="rId7"/>
    <sheet sheetId="5" name="Resources" state="visible" r:id="rId8"/>
    <sheet sheetId="6" name="YouTube Learning" state="visible" r:id="rId9"/>
  </sheets>
  <calcPr calcId="171027"/>
</workbook>
</file>

<file path=xl/sharedStrings.xml><?xml version="1.0" encoding="utf-8"?>
<sst xmlns="http://schemas.openxmlformats.org/spreadsheetml/2006/main" count="1096" uniqueCount="399">
  <si>
    <t>CLAUDE CODE MASTERY</t>
  </si>
  <si>
    <t>30-Day Intensive Curriculum  |  Beginner to Expert</t>
  </si>
  <si>
    <t>Total Days</t>
  </si>
  <si>
    <t>Total Hours</t>
  </si>
  <si>
    <t>Practice Tasks</t>
  </si>
  <si>
    <t>Phases</t>
  </si>
  <si>
    <t>Difficulty</t>
  </si>
  <si>
    <t>30</t>
  </si>
  <si>
    <t>160+</t>
  </si>
  <si>
    <t>120+</t>
  </si>
  <si>
    <t>4</t>
  </si>
  <si>
    <t>★ → ★★★★★</t>
  </si>
  <si>
    <t>LEARNING PHASES</t>
  </si>
  <si>
    <t>Week 1: Foundation</t>
  </si>
  <si>
    <t>Day 1-7</t>
  </si>
  <si>
    <t>환경 설정, CLI 기초, 프롬프트 기법, Git 연동, CLAUDE.md 설정</t>
  </si>
  <si>
    <t>Week 2: Core Skills</t>
  </si>
  <si>
    <t>Day 8-14</t>
  </si>
  <si>
    <t>코드 생성, 리팩토링, 테스트, 디버깅, API 개발</t>
  </si>
  <si>
    <t>Week 3: Advanced</t>
  </si>
  <si>
    <t>Day 15-21</t>
  </si>
  <si>
    <t>멀티파일 관리, MCP 서버, Hooks, 풀스택 개발</t>
  </si>
  <si>
    <t>Week 4: Mastery</t>
  </si>
  <si>
    <t>Day 22-30</t>
  </si>
  <si>
    <t>Agent SDK, CI/CD, 보안, 성능 최적화, 캡스톤 프로젝트</t>
  </si>
  <si>
    <t>PROGRESS LEGEND</t>
  </si>
  <si>
    <t>✅  Completed (완료)</t>
  </si>
  <si>
    <t>🔄  In Progress (진행중)</t>
  </si>
  <si>
    <t>⬜  Not Started (미시작)</t>
  </si>
  <si>
    <t>CLAUDE CODE 30-DAY CURRICULUM</t>
  </si>
  <si>
    <t>Daily 5+ Hours  |  Beginner → Expert  |  Track your progress with the Progress column</t>
  </si>
  <si>
    <t/>
  </si>
  <si>
    <t>Day</t>
  </si>
  <si>
    <t>Week</t>
  </si>
  <si>
    <t>Phase</t>
  </si>
  <si>
    <t>Title</t>
  </si>
  <si>
    <t>Learning Objective</t>
  </si>
  <si>
    <t>Topics &amp; Key Concepts</t>
  </si>
  <si>
    <t>Hours</t>
  </si>
  <si>
    <t>Category</t>
  </si>
  <si>
    <t>Progress</t>
  </si>
  <si>
    <t>Date</t>
  </si>
  <si>
    <t>Notes</t>
  </si>
  <si>
    <t>W1</t>
  </si>
  <si>
    <t>Foundation</t>
  </si>
  <si>
    <t>Claude Code 소개 &amp; 환경 설정</t>
  </si>
  <si>
    <t>Claude Code가 무엇인지 이해하고 개발 환경을 완벽히 설정한다</t>
  </si>
  <si>
    <t xml:space="preserve">• Claude Code 개념과 아키텍처 이해
• Node.js, npm 설치 및 설정
• Claude Code CLI 설치 (npm install -g @anthropic/claude-code)
• API Key 발급 및 환경변수 설정
• 터미널/셸 기초 (cd, ls, mkdir 등)</t>
  </si>
  <si>
    <t xml:space="preserve">1. Claude Code 설치 후 "claude" 명령어로 실행 확인
2. 간단한 프로젝트 폴더 생성
3. "Hello World" 대화 시작
4. /help 명령어로 사용 가능한 기능 탐색</t>
  </si>
  <si>
    <t>5h</t>
  </si>
  <si>
    <t>★☆☆☆☆</t>
  </si>
  <si>
    <t>Setup</t>
  </si>
  <si>
    <t>⬜ Not Started</t>
  </si>
  <si>
    <t>기본 인터페이스 &amp; 명령어 체계</t>
  </si>
  <si>
    <t>Claude Code의 UI, 슬래시 명령어, 단축키를 능숙하게 사용한다</t>
  </si>
  <si>
    <t xml:space="preserve">• 슬래시 명령어 전체 정리 (/help, /clear, /compact, /cost 등)
• 키보드 단축키 (Esc 취소, Tab 자동완성 등)
• 대화 컨텍스트 관리 및 compact 모드
• 세션 관리와 비용 모니터링
• Permission 모드 이해 (Yolo, Normal, Strict)</t>
  </si>
  <si>
    <t xml:space="preserve">1. 모든 슬래시 명령어 하나씩 실행해보기
2. /cost로 비용 확인 실습
3. /compact로 컨텍스트 압축 실습
4. Permission 모드 전환 실습</t>
  </si>
  <si>
    <t>Basics</t>
  </si>
  <si>
    <t>파일 시스템 탐색 &amp; 코드 읽기</t>
  </si>
  <si>
    <t>Claude Code로 프로젝트 구조를 파악하고 코드를 분석하는 방법을 익힌다</t>
  </si>
  <si>
    <t xml:space="preserve">• 프로젝트 구조 파악 요청 방법
• 코드 읽기 및 분석 프롬프트 작성
• 파일 검색과 내용 탐색
• 코드 설명 요청 테크닉
• 의존성 및 import 구조 파악</t>
  </si>
  <si>
    <t xml:space="preserve">1. 오픈소스 프로젝트 clone 후 Claude Code로 구조 분석
2. "이 프로젝트의 전체 구조를 설명해줘" 실습
3. 특정 함수의 동작 원리 질문하기
4. 코드 의존성 트리 파악 연습</t>
  </si>
  <si>
    <t>★★☆☆☆</t>
  </si>
  <si>
    <t>Navigation</t>
  </si>
  <si>
    <t>프롬프트 엔지니어링 기초</t>
  </si>
  <si>
    <t>효과적인 프롬프트 작성법을 익혀 Claude Code의 응답 품질을 극대화한다</t>
  </si>
  <si>
    <t xml:space="preserve">• 명확한 지시문 작성 원칙
• 컨텍스트 제공의 중요성
• 단계적 요청 vs 한번에 요청
• 구체적 예시 포함 기법
• 역할 부여 프롬프팅</t>
  </si>
  <si>
    <t xml:space="preserve">1. 같은 작업을 다양한 프롬프트로 요청해보고 결과 비교
2. 모호한 프롬프트 → 구체적 프롬프트 개선 연습
3. 복잡한 작업을 단계별로 분해하는 연습
4. 5가지 프롬프트 패턴 작성 및 테스트</t>
  </si>
  <si>
    <t>Prompting</t>
  </si>
  <si>
    <t>Git 연동 &amp; 버전 관리</t>
  </si>
  <si>
    <t>Claude Code와 Git을 연동하여 안전한 코드 변경 관리를 수행한다</t>
  </si>
  <si>
    <t xml:space="preserve">• Git 기초 (init, add, commit, push, pull)
• Claude Code의 Git 인식 기능
• /commit 명령어로 자동 커밋 메시지 생성
• 브랜치 관리와 PR 생성
• 코드 리뷰 요청 방법</t>
  </si>
  <si>
    <t xml:space="preserve">1. Git 저장소 생성 후 Claude Code로 작업
2. /commit으로 자동 커밋 메시지 생성 실습
3. 브랜치 생성 → 코드 변경 → PR 생성 워크플로우
4. 코드 diff 분석 요청 연습</t>
  </si>
  <si>
    <t>Git</t>
  </si>
  <si>
    <t>CLAUDE.md &amp; 프로젝트 설정</t>
  </si>
  <si>
    <t>CLAUDE.md를 작성하여 프로젝트별 맞춤 지시사항을 설정한다</t>
  </si>
  <si>
    <t xml:space="preserve">• CLAUDE.md 파일의 역할과 구조
• 프로젝트 컨벤션 명시 방법
• 코딩 스타일, 아키텍처 규칙 설정
• 다중 CLAUDE.md 계층 구조
• .claude/ 디렉토리 활용</t>
  </si>
  <si>
    <t xml:space="preserve">1. 프로젝트 루트에 CLAUDE.md 작성
2. 코딩 스타일 가이드 포함하기
3. 자주 사용하는 명령어 문서화
4. 하위 디렉토리별 CLAUDE.md 설정</t>
  </si>
  <si>
    <t>Config</t>
  </si>
  <si>
    <t>1주차 종합 복습 &amp; 미니 프로젝트</t>
  </si>
  <si>
    <t>1주차에 배운 내용을 종합하여 간단한 프로젝트를 완성한다</t>
  </si>
  <si>
    <t xml:space="preserve">• 1주차 핵심 개념 정리
• CLI 도구 전체 복습
• 프롬프트 패턴 복습
• Git 워크플로우 복습
• CLAUDE.md 최적화</t>
  </si>
  <si>
    <t xml:space="preserve">1. 간단한 CLI 도구(할일 관리) 프로젝트 시작부터 완성
2. CLAUDE.md 포함 프로젝트 구성
3. Git으로 버전 관리하며 개발
4. 1주차 학습 노트 정리</t>
  </si>
  <si>
    <t>6h</t>
  </si>
  <si>
    <t>Review</t>
  </si>
  <si>
    <t>W2</t>
  </si>
  <si>
    <t>Core Skills</t>
  </si>
  <si>
    <t>코드 생성 - 함수 &amp; 모듈</t>
  </si>
  <si>
    <t>Claude Code로 고품질 함수와 모듈을 생성하는 기법을 익힌다</t>
  </si>
  <si>
    <t xml:space="preserve">• 함수 생성 요청 최적 패턴
• 입출력 명세 작성법
• 에러 핸들링 포함 요청
• 모듈 분리 및 구조화
• 타입 안전성 확보 (TypeScript)</t>
  </si>
  <si>
    <t xml:space="preserve">1. 다양한 유틸리티 함수 생성 (문자열, 배열, 날짜)
2. 에러 처리가 포함된 API 호출 함수 생성
3. 모듈 분리가 잘 된 코드 생성 요청
4. TypeScript 타입 정의 생성</t>
  </si>
  <si>
    <t>★★★☆☆</t>
  </si>
  <si>
    <t>Code Gen</t>
  </si>
  <si>
    <t>코드 생성 - 클래스 &amp; 패턴</t>
  </si>
  <si>
    <t>객체지향 설계와 디자인 패턴을 Claude Code로 구현한다</t>
  </si>
  <si>
    <t xml:space="preserve">• 클래스 설계 요청 방법
• 디자인 패턴 구현 (싱글톤, 팩토리, 옵저버 등)
• 상속과 컴포지션 결정
• SOLID 원칙 적용
• 인터페이스/추상 클래스 설계</t>
  </si>
  <si>
    <t xml:space="preserve">1. 간단한 게임 캐릭터 시스템 설계 (클래스 상속)
2. Observer 패턴으로 이벤트 시스템 구현
3. Factory 패턴으로 객체 생성 모듈 작성
4. SOLID 원칙 위반 코드 → 리팩토링</t>
  </si>
  <si>
    <t>코드 리팩토링 &amp; 최적화</t>
  </si>
  <si>
    <t>기존 코드를 Claude Code로 분석하고 효과적으로 리팩토링한다</t>
  </si>
  <si>
    <t xml:space="preserve">• 코드 스멜 탐지 요청
• 리팩토링 전략 수립
• 성능 최적화 분석
• 중복 코드 제거
• 가독성 개선 기법</t>
  </si>
  <si>
    <t xml:space="preserve">1. 의도적으로 나쁜 코드 작성 후 리팩토링 요청
2. 성능 병목 분석 및 최적화
3. 중복 코드 통합 실습
4. 복잡한 조건문 단순화</t>
  </si>
  <si>
    <t>Refactor</t>
  </si>
  <si>
    <t>테스트 코드 작성</t>
  </si>
  <si>
    <t>Claude Code를 활용하여 단위 테스트와 통합 테스트를 작성한다</t>
  </si>
  <si>
    <t xml:space="preserve">• 테스트 프레임워크 (Jest, Vitest, pytest 등)
• 단위 테스트 생성 요청 방법
• 엣지 케이스 커버리지 요청
• 목(Mock) 객체 활용
• TDD 워크플로우</t>
  </si>
  <si>
    <t xml:space="preserve">1. 기존 함수에 대한 테스트 코드 자동 생성
2. 엣지 케이스 포함 테스트 작성
3. API 호출 함수의 Mock 테스트
4. TDD로 새 기능 개발 (테스트 먼저)</t>
  </si>
  <si>
    <t>Testing</t>
  </si>
  <si>
    <t>디버깅 &amp; 에러 해결</t>
  </si>
  <si>
    <t>Claude Code로 버그를 진단하고 체계적으로 해결하는 방법을 익힌다</t>
  </si>
  <si>
    <t xml:space="preserve">• 에러 메시지 분석 요청
• 스택 트레이스 해석
• 논리 오류 탐지
• 디버깅 전략 수립
• 로그 분석 기법</t>
  </si>
  <si>
    <t xml:space="preserve">1. 의도적 버그가 있는 코드 디버깅
2. 에러 로그 붙여넣기 → 원인 분석
3. 성능 이슈 디버깅 (메모리 누수 등)
4. 비동기 코드 디버깅 실습</t>
  </si>
  <si>
    <t>Debug</t>
  </si>
  <si>
    <t>API 개발 &amp; REST 설계</t>
  </si>
  <si>
    <t>Claude Code로 RESTful API를 설계하고 구현한다</t>
  </si>
  <si>
    <t xml:space="preserve">• REST API 설계 원칙
• Express.js / FastAPI 서버 구축
• 라우팅, 미들웨어 설정
• 요청 검증과 에러 처리
• API 문서화 (Swagger/OpenAPI)</t>
  </si>
  <si>
    <t xml:space="preserve">1. 간단한 CRUD API 서버 생성
2. 미들웨어 체인 구성
3. 입력 검증 로직 추가
4. Swagger 문서 자동 생성</t>
  </si>
  <si>
    <t>Backend</t>
  </si>
  <si>
    <t>2주차 종합 복습 &amp; 프로젝트</t>
  </si>
  <si>
    <t>2주차 학습 내용을 실전 프로젝트에 적용한다</t>
  </si>
  <si>
    <t xml:space="preserve">• 코드 생성 패턴 복습
• 테스트/디버깅 워크플로우 복습
• API 설계 원칙 복습
• 리팩토링 기법 종합
• Best Practice 정리</t>
  </si>
  <si>
    <t xml:space="preserve">1. 메모 앱 API 백엔드 완성 프로젝트
2. 전체 테스트 코드 작성
3. 코드 리뷰 및 리팩토링
4. 2주차 학습 노트 정리</t>
  </si>
  <si>
    <t>W3</t>
  </si>
  <si>
    <t>Advanced</t>
  </si>
  <si>
    <t>멀티파일 프로젝트 관리</t>
  </si>
  <si>
    <t>여러 파일에 걸친 대규모 변경을 효율적으로 수행한다</t>
  </si>
  <si>
    <t xml:space="preserve">• 여러 파일 동시 수정 전략
• 프로젝트 전체 리팩토링
• 의존성 그래프 이해
• 대규모 코드 마이그레이션
• 컨텍스트 윈도우 최적화</t>
  </si>
  <si>
    <t xml:space="preserve">1. 5개 이상 파일에 걸친 기능 추가
2. 폴더 구조 변경 + import 경로 업데이트
3. 레거시 코드 마이그레이션 실습
4. 대규모 리팩토링 세션</t>
  </si>
  <si>
    <t>★★★★☆</t>
  </si>
  <si>
    <t>MCP (Model Context Protocol) 서버</t>
  </si>
  <si>
    <t>MCP 서버를 구성하여 Claude Code의 기능을 확장한다</t>
  </si>
  <si>
    <t xml:space="preserve">• MCP 프로토콜 개요
• MCP 서버 설치 및 설정
• 커스텀 도구 연결
• 외부 데이터 소스 통합
• MCP 서버 디버깅</t>
  </si>
  <si>
    <t xml:space="preserve">1. 파일 시스템 MCP 서버 설정
2. 데이터베이스 MCP 연동
3. 커스텀 MCP 서버 구축
4. MCP 도구 활용 워크플로우</t>
  </si>
  <si>
    <t>MCP</t>
  </si>
  <si>
    <t>Hooks &amp; 자동화</t>
  </si>
  <si>
    <t>Claude Code의 Hook 시스템을 활용하여 워크플로우를 자동화한다</t>
  </si>
  <si>
    <t xml:space="preserve">• Hook 시스템 이해 (PreTool, PostTool 등)
• .claude/settings.json 설정
• 자동 린팅/포매팅 Hook
• 커스텀 검증 Hook
• CI/CD 파이프라인 연동</t>
  </si>
  <si>
    <t xml:space="preserve">1. 코드 저장 시 자동 포매팅 Hook 설정
2. 커밋 전 자동 테스트 Hook 구현
3. 커스텀 검증 로직 Hook 작성
4. GitHub Actions 연동 실습</t>
  </si>
  <si>
    <t>Automation</t>
  </si>
  <si>
    <t>데이터베이스 &amp; ORM</t>
  </si>
  <si>
    <t>Claude Code로 데이터베이스 스키마 설계부터 쿼리까지 구현한다</t>
  </si>
  <si>
    <t xml:space="preserve">• DB 스키마 설계 요청
• SQL 쿼리 생성 및 최적화
• ORM 코드 생성 (Prisma, Drizzle 등)
• 마이그레이션 파일 작성
• 데이터 시드 스크립트 생성</t>
  </si>
  <si>
    <t xml:space="preserve">1. ERD 기반 스키마 생성
2. 복잡한 SQL 쿼리 작성 요청
3. Prisma 스키마 + 마이그레이션
4. 시드 데이터 스크립트 생성</t>
  </si>
  <si>
    <t>Database</t>
  </si>
  <si>
    <t>프론트엔드 개발 (React/Vue)</t>
  </si>
  <si>
    <t>Claude Code로 현대적인 프론트엔드 컴포넌트를 생성한다</t>
  </si>
  <si>
    <t xml:space="preserve">• 컴포넌트 생성 요청 패턴
• 상태 관리 구현
• 스타일링 (CSS-in-JS, Tailwind)
• 반응형 디자인 구현
• 접근성(a11y) 고려</t>
  </si>
  <si>
    <t xml:space="preserve">1. React 컴포넌트 5개 생성 (카드, 모달, 폼 등)
2. 상태 관리 로직 구현 (useReducer/Zustand)
3. Tailwind CSS로 반응형 레이아웃
4. 접근성 검사 및 개선</t>
  </si>
  <si>
    <t>Frontend</t>
  </si>
  <si>
    <t>풀스택 프로젝트 구축</t>
  </si>
  <si>
    <t>프론트엔드와 백엔드를 연결하는 풀스택 앱을 구축한다</t>
  </si>
  <si>
    <t xml:space="preserve">• 풀스택 아키텍처 설계
• API 연동 (fetch/axios)
• 인증/인가 시스템
• 환경변수 관리
• 배포 준비</t>
  </si>
  <si>
    <t xml:space="preserve">1. 풀스택 할일 앱 (React + Express + SQLite)
2. JWT 인증 시스템 구현
3. 환경변수 분리 설정
4. 빌드 스크립트 작성</t>
  </si>
  <si>
    <t>Fullstack</t>
  </si>
  <si>
    <t>3주차 종합 복습 &amp; 프로젝트</t>
  </si>
  <si>
    <t>고급 기능을 활용한 실전 프로젝트를 완성한다</t>
  </si>
  <si>
    <t xml:space="preserve">• 멀티파일 관리 복습
• MCP/Hook 활용 복습
• 풀스택 아키텍처 복습
• 성능 최적화 기법
• 코드 품질 관리</t>
  </si>
  <si>
    <t xml:space="preserve">1. 블로그 플랫폼 풀스택 프로젝트
2. MCP 서버 연동
3. Hook 기반 자동화 파이프라인
4. 3주차 학습 노트 정리</t>
  </si>
  <si>
    <t>W4</t>
  </si>
  <si>
    <t>Mastery</t>
  </si>
  <si>
    <t>Claude Code Agent SDK</t>
  </si>
  <si>
    <t>Agent SDK를 이해하고 커스텀 에이전트를 구축한다</t>
  </si>
  <si>
    <t xml:space="preserve">• Agent SDK 아키텍처
• 커스텀 에이전트 설계
• 도구(Tool) 정의 및 등록
• 에이전트 오케스트레이션
• 멀티 에이전트 시스템</t>
  </si>
  <si>
    <t xml:space="preserve">1. 기본 에이전트 구축 튜토리얼
2. 커스텀 도구 3개 구현
3. 에이전트 간 통신 구현
4. 실용적인 에이전트 시나리오 작성</t>
  </si>
  <si>
    <t>★★★★★</t>
  </si>
  <si>
    <t>SDK</t>
  </si>
  <si>
    <t>CI/CD &amp; DevOps 통합</t>
  </si>
  <si>
    <t>Claude Code를 CI/CD 파이프라인에 통합하여 자동화한다</t>
  </si>
  <si>
    <t xml:space="preserve">• GitHub Actions + Claude Code
• 자동 코드 리뷰 파이프라인
• PR 자동 분석 설정
• Docker 컨테이너 생성
• 배포 자동화 스크립트</t>
  </si>
  <si>
    <t xml:space="preserve">1. GitHub Actions 워크플로우 작성
2. 자동 코드 리뷰 봇 설정
3. Docker 이미지 빌드 자동화
4. 배포 파이프라인 구성</t>
  </si>
  <si>
    <t>DevOps</t>
  </si>
  <si>
    <t>보안 &amp; 코드 품질</t>
  </si>
  <si>
    <t>Claude Code로 보안 취약점을 탐지하고 코드 품질을 보장한다</t>
  </si>
  <si>
    <t xml:space="preserve">• OWASP Top 10 취약점 탐지
• 코드 보안 리뷰 요청
• 의존성 취약점 분석
• ESLint/Prettier 설정 최적화
• 코드 복잡도 분석</t>
  </si>
  <si>
    <t xml:space="preserve">1. 의도적 취약점 코드 → 보안 리뷰
2. npm audit 결과 분석 및 패치
3. ESLint 커스텀 룰 생성
4. 코드 복잡도 리포트 생성</t>
  </si>
  <si>
    <t>Security</t>
  </si>
  <si>
    <t>레거시 코드 현대화</t>
  </si>
  <si>
    <t>오래된 코드베이스를 현대적 기술 스택으로 마이그레이션한다</t>
  </si>
  <si>
    <t xml:space="preserve">• 레거시 코드 분석 전략
• 점진적 마이그레이션 계획
• JS → TS 마이그레이션
• 프레임워크 업그레이드
• 기술 부채 관리</t>
  </si>
  <si>
    <t xml:space="preserve">1. JavaScript 프로젝트 → TypeScript 변환
2. 콜백 → async/await 변환
3. CommonJS → ESM 모듈 변환
4. 의존성 메이저 업그레이드</t>
  </si>
  <si>
    <t>Migration</t>
  </si>
  <si>
    <t>문서화 &amp; 지식 관리</t>
  </si>
  <si>
    <t>Claude Code로 프로젝트 문서를 체계적으로 생성하고 관리한다</t>
  </si>
  <si>
    <t xml:space="preserve">• README.md 자동 생성
• API 문서화 (JSDoc, TSDoc)
• 아키텍처 다이어그램 생성
• 변경 로그(Changelog) 자동화
• Wiki/문서 사이트 구축</t>
  </si>
  <si>
    <t xml:space="preserve">1. 프로젝트 README 자동 생성
2. 전체 API 문서화 (JSDoc)
3. Mermaid 다이어그램 생성
4. Changelog 자동 생성 스크립트</t>
  </si>
  <si>
    <t>Docs</t>
  </si>
  <si>
    <t>성능 최적화 &amp; 모니터링</t>
  </si>
  <si>
    <t>앱 성능을 분석하고 최적화하는 전문 기법을 익힌다</t>
  </si>
  <si>
    <t xml:space="preserve">• 프론트엔드 성능 분석 (Lighthouse)
• 백엔드 성능 프로파일링
• 번들 사이즈 최적화
• 캐싱 전략 수립
• 모니터링 시스템 구축</t>
  </si>
  <si>
    <t xml:space="preserve">1. Lighthouse 점수 개선 프로젝트
2. API 응답 시간 최적화
3. 번들 분석 및 코드 스플리팅
4. Redis 캐싱 레이어 구현</t>
  </si>
  <si>
    <t>Performance</t>
  </si>
  <si>
    <t>실전 워크플로우 최적화</t>
  </si>
  <si>
    <t>일상 개발에서 Claude Code를 최대한 효율적으로 활용하는 패턴을 정립한다</t>
  </si>
  <si>
    <t xml:space="preserve">• 개인 워크플로우 설계
• 프롬프트 라이브러리 구축
• 반복 작업 자동화
• 팀 협업 전략
• 비용 최적화 전략</t>
  </si>
  <si>
    <t xml:space="preserve">1. 개인 프롬프트 라이브러리 20개 작성
2. 일일 개발 루틴 설계
3. 팀 CLAUDE.md 템플릿 작성
4. 비용 대비 효율 분석</t>
  </si>
  <si>
    <t>Workflow</t>
  </si>
  <si>
    <t>캡스톤 프로젝트 (1/2)</t>
  </si>
  <si>
    <t>모든 학습 내용을 종합한 실전 프로젝트를 시작한다</t>
  </si>
  <si>
    <t xml:space="preserve">• 프로젝트 기획 및 설계
• 아키텍처 결정
• 초기 세팅 (CLAUDE.md, Git, MCP)
• 핵심 기능 구현
• 테스트 전략 수립</t>
  </si>
  <si>
    <t xml:space="preserve">1. SaaS 대시보드 앱 기획
2. DB 스키마 + API 설계
3. 핵심 백엔드 API 구현
4. 프론트엔드 메인 페이지 구현</t>
  </si>
  <si>
    <t>7h</t>
  </si>
  <si>
    <t>Capstone</t>
  </si>
  <si>
    <t>캡스톤 프로젝트 (2/2) &amp; 졸업</t>
  </si>
  <si>
    <t>프로젝트를 완성하고, 1개월 학습을 정리하며, 향후 성장 로드맵을 수립한다</t>
  </si>
  <si>
    <t xml:space="preserve">• 남은 기능 구현
• 테스트 &amp; QA
• 문서화 완성
• 배포
• 1개월 회고 &amp; 향후 계획</t>
  </si>
  <si>
    <t xml:space="preserve">1. 캡스톤 프로젝트 완성 및 배포
2. 전체 테스트 커버리지 확보
3. README + API 문서 완성
4. 1개월 학습 회고록 작성
5. 향후 3개월 성장 로드맵 수립</t>
  </si>
  <si>
    <t>PROGRESS TRACKER</t>
  </si>
  <si>
    <t>Record your daily learning journey — track dates, self-ratings, key takeaways, and time spent</t>
  </si>
  <si>
    <t>Status</t>
  </si>
  <si>
    <t>Started</t>
  </si>
  <si>
    <t>Completed</t>
  </si>
  <si>
    <t>Rating (1-5)</t>
  </si>
  <si>
    <t>Key Takeaways</t>
  </si>
  <si>
    <t>Challenges &amp; Notes</t>
  </si>
  <si>
    <t>Time Spent</t>
  </si>
  <si>
    <t>COMPLETION SUMMARY</t>
  </si>
  <si>
    <t>In Progress</t>
  </si>
  <si>
    <t>Not Started</t>
  </si>
  <si>
    <t>Completion %</t>
  </si>
  <si>
    <t>WEEKLY REFLECTION &amp; SUMMARY</t>
  </si>
  <si>
    <t>At the end of each week, reflect on your learning. Write freely about your experience.</t>
  </si>
  <si>
    <t>What did I learn?</t>
  </si>
  <si>
    <t>이번 주에 배운 가장 중요한 것들은?</t>
  </si>
  <si>
    <t>What was challenging?</t>
  </si>
  <si>
    <t>가장 어려웠던 부분과 해결 방법은?</t>
  </si>
  <si>
    <t>What will I improve?</t>
  </si>
  <si>
    <t>다음 주에 개선할 점은?</t>
  </si>
  <si>
    <t>Confidence Level (1-10)</t>
  </si>
  <si>
    <t>Claude Code 활용 자신감 점수</t>
  </si>
  <si>
    <t>LEARNING RESOURCES &amp; DOCUMENTATION</t>
  </si>
  <si>
    <t>Click on any resource name to open the official page directly — all links verified</t>
  </si>
  <si>
    <t>Resource (Click to Open)</t>
  </si>
  <si>
    <t>Description</t>
  </si>
  <si>
    <t>Type</t>
  </si>
  <si>
    <t>Related Day</t>
  </si>
  <si>
    <t>Claude Code</t>
  </si>
  <si>
    <t>Claude Code Overview</t>
  </si>
  <si>
    <t>Anthropic 공식 Claude Code 문서 — 설치, 설정, 전체 기능 가이드</t>
  </si>
  <si>
    <t>Official Docs</t>
  </si>
  <si>
    <t>Day 1-2</t>
  </si>
  <si>
    <t>Claude Code GitHub</t>
  </si>
  <si>
    <t>Claude Code 오픈소스 저장소 — 소스 코드, 이슈 트래커, 릴리즈 노트</t>
  </si>
  <si>
    <t>GitHub</t>
  </si>
  <si>
    <t>Day 1</t>
  </si>
  <si>
    <t>CLAUDE.md (Memory) Docs</t>
  </si>
  <si>
    <t>CLAUDE.md 파일 작성법 — 프로젝트별 설정, auto-memory, 계층 구조</t>
  </si>
  <si>
    <t>Day 6</t>
  </si>
  <si>
    <t>MCP Server Docs</t>
  </si>
  <si>
    <t>Model Context Protocol 서버 설정 — 외부 도구 연동, 커스텀 MCP 구축</t>
  </si>
  <si>
    <t>Day 16</t>
  </si>
  <si>
    <t>Hooks Reference</t>
  </si>
  <si>
    <t>Hook 시스템 — PreTool, PostTool 등 자동화 이벤트 핸들링</t>
  </si>
  <si>
    <t>Day 17</t>
  </si>
  <si>
    <t>Agent SDK Docs</t>
  </si>
  <si>
    <t>Claude Agent SDK — 커스텀 에이전트 구축, 도구 정의, 오케스트레이션</t>
  </si>
  <si>
    <t>Day 22</t>
  </si>
  <si>
    <t>Anthropic API Reference</t>
  </si>
  <si>
    <t>Anthropic API 전체 레퍼런스 — 모델 사양, 요금, 사용 제한</t>
  </si>
  <si>
    <t>API Docs</t>
  </si>
  <si>
    <t>Prompt Engineering Guide</t>
  </si>
  <si>
    <t>Anthropic 공식 프롬프트 엔지니어링 가이드 — 최적 프롬프트 작성법</t>
  </si>
  <si>
    <t>Official Guide</t>
  </si>
  <si>
    <t>Day 4</t>
  </si>
  <si>
    <t>Interactive Prompt Tutorial</t>
  </si>
  <si>
    <t>Anthropic 대화형 프롬프트 튜토리얼 — Jupyter 노트북 기반 실습</t>
  </si>
  <si>
    <t>Anthropic Courses</t>
  </si>
  <si>
    <t>Anthropic 전체 교육 과정 — 프롬프트, 도구 사용, 에이전트 구축</t>
  </si>
  <si>
    <t>Dev Tools</t>
  </si>
  <si>
    <t>Node.js Documentation</t>
  </si>
  <si>
    <t>Node.js 공식 API 문서 — 런타임 환경, 내장 모듈 레퍼런스</t>
  </si>
  <si>
    <t>Day 1, 8</t>
  </si>
  <si>
    <t>Git Documentation</t>
  </si>
  <si>
    <t>Git 공식 문서 — 모든 명령어 레퍼런스, Pro Git 전자책 포함</t>
  </si>
  <si>
    <t>Day 5</t>
  </si>
  <si>
    <t>TypeScript Handbook</t>
  </si>
  <si>
    <t>TypeScript 공식 핸드북 — 타입 시스템, 제네릭, 유틸리티 타입</t>
  </si>
  <si>
    <t>Day 8-9, 25</t>
  </si>
  <si>
    <t>VS Code Download</t>
  </si>
  <si>
    <t>Visual Studio Code 다운로드 — Claude Code와 함께 사용할 에디터</t>
  </si>
  <si>
    <t>Download</t>
  </si>
  <si>
    <t>ESLint Documentation</t>
  </si>
  <si>
    <t>ESLint 설정 및 규칙 — 코드 품질, 커스텀 룰 작성</t>
  </si>
  <si>
    <t>Day 24</t>
  </si>
  <si>
    <t>Framework</t>
  </si>
  <si>
    <t>Express.js</t>
  </si>
  <si>
    <t>Express.js 공식 사이트 — 라우팅, 미들웨어, API 가이드</t>
  </si>
  <si>
    <t>Day 13</t>
  </si>
  <si>
    <t>React Documentation</t>
  </si>
  <si>
    <t>React 공식 문서 — 컴포넌트, Hooks, 상태 관리, 튜토리얼</t>
  </si>
  <si>
    <t>Day 19</t>
  </si>
  <si>
    <t>Tailwind CSS</t>
  </si>
  <si>
    <t>Tailwind CSS 설치 및 유틸리티 클래스 — 반응형 디자인 가이드</t>
  </si>
  <si>
    <t>Jest Testing</t>
  </si>
  <si>
    <t>Jest 공식 문서 — 매처, Mock, 비동기 테스트, 설정 가이드</t>
  </si>
  <si>
    <t>Day 11</t>
  </si>
  <si>
    <t>Prisma ORM</t>
  </si>
  <si>
    <t>Prisma 공식 문서 — 스키마 설계, 마이그레이션, 쿼리 빌더</t>
  </si>
  <si>
    <t>Day 18</t>
  </si>
  <si>
    <t>Docker Documentation</t>
  </si>
  <si>
    <t>Docker 공식 문서 — 컨테이너, Dockerfile, Docker Compose</t>
  </si>
  <si>
    <t>Day 23</t>
  </si>
  <si>
    <t>GitHub Actions</t>
  </si>
  <si>
    <t>GitHub Actions 가이드 — 워크플로우, 트리거, CI/CD 파이프라인</t>
  </si>
  <si>
    <t>Practice</t>
  </si>
  <si>
    <t>LeetCode</t>
  </si>
  <si>
    <t>알고리즘/자료구조 문제 풀이 — Claude Code로 함께 풀어보기</t>
  </si>
  <si>
    <t>All</t>
  </si>
  <si>
    <t>HackerRank</t>
  </si>
  <si>
    <t>코딩 챌린지 플랫폼 — 언어별, 난이도별 문제 풀이</t>
  </si>
  <si>
    <t>Course</t>
  </si>
  <si>
    <t>DeepLearning.AI Claude Code</t>
  </si>
  <si>
    <t>Anthropic + DeepLearning.AI 공식 무료 강좌 — Claude Code 실전 활용</t>
  </si>
  <si>
    <t>Free Course</t>
  </si>
  <si>
    <t>YOUTUBE LEARNING RESOURCES</t>
  </si>
  <si>
    <t>Curated YouTube videos for each curriculum topic — Click video titles to watch directly</t>
  </si>
  <si>
    <t>TIP: Videos are ordered by curriculum day. Watch them alongside or before each day's lesson for maximum learning.</t>
  </si>
  <si>
    <t>#</t>
  </si>
  <si>
    <t>Video Title (Click to Watch)</t>
  </si>
  <si>
    <t>Channel</t>
  </si>
  <si>
    <t>Duration</t>
  </si>
  <si>
    <t>Language</t>
  </si>
  <si>
    <t>Claude Code: Agentic Coding Assistant (Full Course)</t>
  </si>
  <si>
    <t>DeepLearning.AI</t>
  </si>
  <si>
    <t>Anthropic 공식 무료 강좌 — 설치, CLAUDE.md, MCP, 서브에이전트, GitHub 연동까지 전체 커버</t>
  </si>
  <si>
    <t>~2h</t>
  </si>
  <si>
    <t>EN</t>
  </si>
  <si>
    <t>Claude Code Beginner Tutorial: Build a Movie App</t>
  </si>
  <si>
    <t>Peter Yang</t>
  </si>
  <si>
    <t>Claude Code로 15분 만에 영화 앱 만들기 — 설치부터 CLAUDE.md 설정, Plan 모드 활용까지</t>
  </si>
  <si>
    <t>17min</t>
  </si>
  <si>
    <t>MCP Protocol</t>
  </si>
  <si>
    <t>Model Context Protocol Explained</t>
  </si>
  <si>
    <t>Fireship</t>
  </si>
  <si>
    <t>MCP 개념 설명 — AI 도구 통합 표준 프로토콜, 직접 MCP 서버 구축 데모 포함</t>
  </si>
  <si>
    <t>~10min</t>
  </si>
  <si>
    <t>Git &amp; GitHub</t>
  </si>
  <si>
    <t>Git and GitHub for Beginners - Full Course</t>
  </si>
  <si>
    <t>freeCodeCamp</t>
  </si>
  <si>
    <t>Git 완전 기초 — add, commit, branch, merge, pull request, rebase 전부 다루는 무료 풀코스</t>
  </si>
  <si>
    <t>1h+</t>
  </si>
  <si>
    <t>Node.js</t>
  </si>
  <si>
    <t>Node.js Crash Course 2024</t>
  </si>
  <si>
    <t>Traversy Media</t>
  </si>
  <si>
    <t>Node.js 핵심 모듈 — HTTP, File System, Path, OS, Crypto 등 프레임워크 없이 순수 Node 학습</t>
  </si>
  <si>
    <t>Day 8</t>
  </si>
  <si>
    <t>2h+</t>
  </si>
  <si>
    <t>TypeScript</t>
  </si>
  <si>
    <t>TypeScript in 100 Seconds</t>
  </si>
  <si>
    <t>TypeScript 핵심 개념 빠른 요약 — 타입, 인터페이스, 제네릭을 100초에 이해</t>
  </si>
  <si>
    <t>Day 8-9</t>
  </si>
  <si>
    <t>2min</t>
  </si>
  <si>
    <t>Express.js Crash Course 2024</t>
  </si>
  <si>
    <t>Express.js 핵심 — 라우팅, 미들웨어, CRUD API 구축, EJS 템플릿까지</t>
  </si>
  <si>
    <t>1.5h</t>
  </si>
  <si>
    <t>Jest Testing Framework Basics</t>
  </si>
  <si>
    <t>Jest 기초 — 매처, 비동기 테스트, beforeEach/afterEach, 실전 유닛 테스트 작성</t>
  </si>
  <si>
    <t>1h</t>
  </si>
  <si>
    <t>React</t>
  </si>
  <si>
    <t>React Crash Course 2024</t>
  </si>
  <si>
    <t>React 핵심 — 컴포넌트, Props, State, Hooks, React Router, 데이터 페칭, 프로젝트 구현</t>
  </si>
  <si>
    <t>3h</t>
  </si>
  <si>
    <t>Tailwind CSS Tutorial (Full Playlist)</t>
  </si>
  <si>
    <t>Net Ninja</t>
  </si>
  <si>
    <t>Tailwind CSS 전체 시리즈 — 설정, 유틸리티 클래스, Flexbox, Grid, 반응형, 다크모드</t>
  </si>
  <si>
    <t>Series</t>
  </si>
  <si>
    <t>Prisma Crash Course</t>
  </si>
  <si>
    <t>Prisma ORM 집중 학습 — 스키마 설계, 마이그레이션, Prisma Client CRUD 쿼리 실전</t>
  </si>
  <si>
    <t>37min</t>
  </si>
  <si>
    <t>Docker</t>
  </si>
  <si>
    <t>Docker Tutorial for Beginners - Full Course</t>
  </si>
  <si>
    <t>TechWorld with Nana</t>
  </si>
  <si>
    <t>Docker 완전 기초 — 컨테이너, 이미지, Dockerfile, Docker Compose, 볼륨, 배포까지</t>
  </si>
  <si>
    <t>CI/CD</t>
  </si>
  <si>
    <t>GitHub Actions Full Tutorial</t>
  </si>
  <si>
    <t>GitHub Actions 워크플로우 실전 — 트리거 설정, 자동 테스트, 배포 파이프라인 구축</t>
  </si>
  <si>
    <t>~12min</t>
  </si>
  <si>
    <t>100 Seconds of CI/CD</t>
  </si>
  <si>
    <t>CI/CD 핵심 개념을 100초에 이해 — Continuous Integration &amp; Delivery 빠른 요약</t>
  </si>
  <si>
    <t>Prompt Eng.</t>
  </si>
  <si>
    <t>Anthropic Interactive Prompt Tutorial</t>
  </si>
  <si>
    <t>Anthropic (GitHub)</t>
  </si>
  <si>
    <t>Anthropic 공식 대화형 프롬프트 튜토리얼 — XML 태그, Few-shot, CoT 기법 실습</t>
  </si>
  <si>
    <t>Self-paced</t>
  </si>
  <si>
    <t>RECOMMENDED YOUTUBE CHANNELS</t>
  </si>
  <si>
    <t>Subscribe to these channels for ongoing learning beyond the 30-day curriculum</t>
  </si>
  <si>
    <t>Channel (Click to Subscribe)</t>
  </si>
  <si>
    <t>Focus Area</t>
  </si>
  <si>
    <t>https://www.youtube.com/@Fireship</t>
  </si>
  <si>
    <t>Quick explainers (100 seconds), modern dev tools, frameworks, AI coding</t>
  </si>
  <si>
    <t>https://www.youtube.com/@TraversyMedia</t>
  </si>
  <si>
    <t>Full-stack crash courses, React, Node.js, Express, testing, Prisma</t>
  </si>
  <si>
    <t>https://www.youtube.com/@freecodecamp</t>
  </si>
  <si>
    <t>Free 3-10hr full courses, Git, algorithms, web development</t>
  </si>
  <si>
    <t>https://www.youtube.com/@TechWorldwithNana</t>
  </si>
  <si>
    <t>DevOps, Docker, Kubernetes, CI/CD pipelines, cloud deployment</t>
  </si>
  <si>
    <t>https://www.youtube.com/@NetNinja</t>
  </si>
  <si>
    <t>Frontend frameworks, Tailwind CSS, TypeScript, Vue, React series</t>
  </si>
  <si>
    <t>Programming with Mosh</t>
  </si>
  <si>
    <t>https://www.youtube.com/@programmingwithmosh</t>
  </si>
  <si>
    <t>TypeScript, React, Node.js, Python — beginner-friendly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</si>
</sst>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0" x14ac:knownFonts="1">
    <font>
      <color theme="1"/>
      <family val="2"/>
      <scheme val="minor"/>
      <sz val="11"/>
      <name val="Calibri"/>
    </font>
    <font>
      <b/>
      <color rgb="1B1F3B"/>
      <sz val="28"/>
      <name val="Segoe UI"/>
    </font>
    <font>
      <color rgb="616161"/>
      <sz val="12"/>
      <name val="Segoe UI"/>
    </font>
    <font>
      <b/>
      <color rgb="9E9E9E"/>
      <sz val="9"/>
      <name val="Segoe UI"/>
    </font>
    <font>
      <b/>
      <color rgb="1B1F3B"/>
      <sz val="18"/>
      <name val="Segoe UI"/>
    </font>
    <font>
      <b/>
      <color rgb="1B1F3B"/>
      <sz val="14"/>
      <name val="Segoe UI"/>
    </font>
    <font>
      <b/>
      <color rgb="FFFFFF"/>
      <sz val="12"/>
      <name val="Segoe UI"/>
    </font>
    <font>
      <b/>
      <color rgb="212121"/>
      <sz val="11"/>
      <name val="Segoe UI"/>
    </font>
    <font>
      <color rgb="616161"/>
      <sz val="10"/>
      <name val="Segoe UI"/>
    </font>
    <font>
      <color rgb="212121"/>
      <sz val="11"/>
      <name val="Segoe UI"/>
    </font>
    <font>
      <b/>
      <color rgb="1B1F3B"/>
      <sz val="20"/>
      <name val="Segoe UI"/>
    </font>
    <font>
      <color rgb="9E9E9E"/>
      <sz val="10"/>
      <name val="Segoe UI"/>
    </font>
    <font>
      <b/>
      <color rgb="FFFFFF"/>
      <sz val="10"/>
      <name val="Segoe UI"/>
    </font>
    <font>
      <b/>
      <color rgb="4285F4"/>
      <sz val="14"/>
      <name val="Segoe UI"/>
    </font>
    <font>
      <b/>
      <color rgb="4285F4"/>
      <sz val="10"/>
      <name val="Segoe UI"/>
    </font>
    <font>
      <b/>
      <color rgb="FFFFFF"/>
      <sz val="9"/>
      <name val="Segoe UI"/>
    </font>
    <font>
      <color rgb="212121"/>
      <sz val="10"/>
      <name val="Segoe UI"/>
    </font>
    <font>
      <color rgb="616161"/>
      <sz val="9"/>
      <name val="Segoe UI"/>
    </font>
    <font>
      <b/>
      <color rgb="212121"/>
      <sz val="10"/>
      <name val="Segoe UI"/>
    </font>
    <font>
      <color rgb="4285F4"/>
      <sz val="10"/>
      <name val="Segoe UI"/>
    </font>
    <font>
      <b/>
      <color rgb="4285F4"/>
      <sz val="9"/>
      <name val="Segoe UI"/>
    </font>
    <font>
      <b/>
      <color rgb="34A853"/>
      <sz val="14"/>
      <name val="Segoe UI"/>
    </font>
    <font>
      <b/>
      <color rgb="34A853"/>
      <sz val="10"/>
      <name val="Segoe UI"/>
    </font>
    <font>
      <color rgb="34A853"/>
      <sz val="10"/>
      <name val="Segoe UI"/>
    </font>
    <font>
      <b/>
      <color rgb="34A853"/>
      <sz val="9"/>
      <name val="Segoe UI"/>
    </font>
    <font>
      <b/>
      <color rgb="FB8C00"/>
      <sz val="14"/>
      <name val="Segoe UI"/>
    </font>
    <font>
      <b/>
      <color rgb="FB8C00"/>
      <sz val="10"/>
      <name val="Segoe UI"/>
    </font>
    <font>
      <color rgb="FB8C00"/>
      <sz val="10"/>
      <name val="Segoe UI"/>
    </font>
    <font>
      <b/>
      <color rgb="FB8C00"/>
      <sz val="9"/>
      <name val="Segoe UI"/>
    </font>
    <font>
      <b/>
      <color rgb="E91E63"/>
      <sz val="14"/>
      <name val="Segoe UI"/>
    </font>
    <font>
      <b/>
      <color rgb="E91E63"/>
      <sz val="10"/>
      <name val="Segoe UI"/>
    </font>
    <font>
      <color rgb="E91E63"/>
      <sz val="10"/>
      <name val="Segoe UI"/>
    </font>
    <font>
      <b/>
      <color rgb="E91E63"/>
      <sz val="9"/>
      <name val="Segoe UI"/>
    </font>
    <font>
      <b/>
      <color rgb="4285F4"/>
      <sz val="12"/>
      <name val="Segoe UI"/>
    </font>
    <font>
      <b/>
      <color rgb="34A853"/>
      <sz val="12"/>
      <name val="Segoe UI"/>
    </font>
    <font>
      <b/>
      <color rgb="FB8C00"/>
      <sz val="12"/>
      <name val="Segoe UI"/>
    </font>
    <font>
      <b/>
      <color rgb="E91E63"/>
      <sz val="12"/>
      <name val="Segoe UI"/>
    </font>
    <font>
      <b/>
      <color rgb="FFFFFF"/>
      <sz val="14"/>
      <name val="Segoe UI"/>
    </font>
    <font>
      <i/>
      <color rgb="9E9E9E"/>
      <sz val="9"/>
      <name val="Segoe UI"/>
    </font>
    <font>
      <b/>
      <u/>
      <color rgb="1155CC"/>
      <sz val="10"/>
      <name val="Segoe UI"/>
    </font>
    <font>
      <b/>
      <color rgb="7C4DFF"/>
      <sz val="9"/>
      <name val="Segoe UI"/>
    </font>
    <font>
      <b/>
      <color rgb="00BCD4"/>
      <sz val="9"/>
      <name val="Segoe UI"/>
    </font>
    <font>
      <b/>
      <color rgb="FF5722"/>
      <sz val="9"/>
      <name val="Segoe UI"/>
    </font>
    <font>
      <b/>
      <color rgb="FF0000"/>
      <sz val="20"/>
      <name val="Segoe UI"/>
    </font>
    <font>
      <b/>
      <color rgb="CC0000"/>
      <sz val="11"/>
      <name val="Segoe UI"/>
    </font>
    <font>
      <b/>
      <color rgb="FF6F00"/>
      <sz val="9"/>
      <name val="Segoe UI"/>
    </font>
    <font>
      <b/>
      <u/>
      <color rgb="CC0000"/>
      <sz val="10"/>
      <name val="Segoe UI"/>
    </font>
    <font>
      <color rgb="9E9E9E"/>
      <sz val="9"/>
      <name val="Segoe UI"/>
    </font>
    <font>
      <b/>
      <color rgb="43A047"/>
      <sz val="9"/>
      <name val="Segoe UI"/>
    </font>
    <font>
      <b/>
      <color rgb="1976D2"/>
      <sz val="9"/>
      <name val="Segoe UI"/>
    </font>
    <font>
      <b/>
      <color rgb="424242"/>
      <sz val="9"/>
      <name val="Segoe UI"/>
    </font>
    <font>
      <b/>
      <color rgb="E65100"/>
      <sz val="9"/>
      <name val="Segoe UI"/>
    </font>
    <font>
      <b/>
      <color rgb="0097A7"/>
      <sz val="9"/>
      <name val="Segoe UI"/>
    </font>
    <font>
      <b/>
      <color rgb="2E7D32"/>
      <sz val="9"/>
      <name val="Segoe UI"/>
    </font>
    <font>
      <b/>
      <color rgb="1565C0"/>
      <sz val="9"/>
      <name val="Segoe UI"/>
    </font>
    <font>
      <b/>
      <color rgb="AD1457"/>
      <sz val="9"/>
      <name val="Segoe UI"/>
    </font>
    <font>
      <b/>
      <color rgb="F57C00"/>
      <sz val="9"/>
      <name val="Segoe UI"/>
    </font>
    <font>
      <b/>
      <color rgb="CC0000"/>
      <sz val="16"/>
      <name val="Segoe UI"/>
    </font>
    <font>
      <b/>
      <color rgb="424242"/>
      <sz val="10"/>
      <name val="Segoe UI"/>
    </font>
    <font>
      <u/>
      <color rgb="CC0000"/>
      <sz val="9"/>
      <name val="Segoe UI"/>
    </font>
  </fonts>
  <fills count="19">
    <fill>
      <patternFill patternType="none"/>
    </fill>
    <fill>
      <patternFill patternType="gray125"/>
    </fill>
    <fill>
      <patternFill patternType="solid">
        <fgColor rgb="F5F5F5"/>
      </patternFill>
    </fill>
    <fill>
      <patternFill patternType="solid">
        <fgColor rgb="4285F4"/>
      </patternFill>
    </fill>
    <fill>
      <patternFill patternType="solid">
        <fgColor rgb="34A853"/>
      </patternFill>
    </fill>
    <fill>
      <patternFill patternType="solid">
        <fgColor rgb="FB8C00"/>
      </patternFill>
    </fill>
    <fill>
      <patternFill patternType="solid">
        <fgColor rgb="E91E63"/>
      </patternFill>
    </fill>
    <fill>
      <patternFill patternType="solid">
        <fgColor rgb="1B1F3B"/>
      </patternFill>
    </fill>
    <fill>
      <patternFill patternType="solid">
        <fgColor rgb="E8F0FE"/>
      </patternFill>
    </fill>
    <fill>
      <patternFill patternType="solid">
        <fgColor rgb="FFFFFF"/>
      </patternFill>
    </fill>
    <fill>
      <patternFill patternType="solid">
        <fgColor rgb="E6F4EA"/>
      </patternFill>
    </fill>
    <fill>
      <patternFill patternType="solid">
        <fgColor rgb="FFF3E0"/>
      </patternFill>
    </fill>
    <fill>
      <patternFill patternType="solid">
        <fgColor rgb="FCE4EC"/>
      </patternFill>
    </fill>
    <fill>
      <patternFill patternType="solid">
        <fgColor rgb="2D6A4F"/>
      </patternFill>
    </fill>
    <fill>
      <patternFill patternType="solid">
        <fgColor rgb="F8FAF8"/>
      </patternFill>
    </fill>
    <fill>
      <patternFill patternType="solid">
        <fgColor rgb="FFFEF7"/>
      </patternFill>
    </fill>
    <fill>
      <patternFill patternType="solid">
        <fgColor rgb="CC0000"/>
      </patternFill>
    </fill>
    <fill>
      <patternFill patternType="solid">
        <fgColor rgb="FFF8F8"/>
      </patternFill>
    </fill>
    <fill>
      <patternFill patternType="solid">
        <fgColor rgb="424242"/>
      </patternFill>
    </fill>
  </fills>
  <borders count="12">
    <border>
      <left/>
      <right/>
      <top/>
      <bottom/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/>
      <right/>
      <top style="thin">
        <color rgb="4285F4"/>
      </top>
      <bottom style="thin">
        <color rgb="4285F4"/>
      </bottom>
      <diagonal/>
    </border>
    <border>
      <left/>
      <right/>
      <top style="thin">
        <color rgb="34A853"/>
      </top>
      <bottom style="thin">
        <color rgb="34A853"/>
      </bottom>
      <diagonal/>
    </border>
    <border>
      <left/>
      <right/>
      <top style="thin">
        <color rgb="FB8C00"/>
      </top>
      <bottom style="thin">
        <color rgb="FB8C00"/>
      </bottom>
      <diagonal/>
    </border>
    <border>
      <left/>
      <right/>
      <top style="thin">
        <color rgb="E91E63"/>
      </top>
      <bottom style="thin">
        <color rgb="E91E63"/>
      </bottom>
      <diagonal/>
    </border>
    <border>
      <left/>
      <right/>
      <top/>
      <bottom style="medium">
        <color rgb="D4A574"/>
      </bottom>
      <diagonal/>
    </border>
    <border>
      <left/>
      <right/>
      <top/>
      <bottom style="thin">
        <color rgb="E0E0E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E0E0E0"/>
      </bottom>
      <diagonal/>
    </border>
    <border>
      <left style="thin">
        <color rgb="E8E8E8"/>
      </left>
      <right style="thin">
        <color rgb="E8E8E8"/>
      </right>
      <top/>
      <bottom style="thin">
        <color rgb="E8E8E8"/>
      </bottom>
      <diagonal/>
    </border>
    <border>
      <left/>
      <right/>
      <top/>
      <bottom style="medium">
        <color rgb="FF4444"/>
      </bottom>
      <diagonal/>
    </border>
    <border>
      <left/>
      <right/>
      <top/>
      <bottom style="thin">
        <color rgb="F0D0D0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0" fontId="6" fillId="3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7" borderId="6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left" vertical="center" wrapText="1"/>
    </xf>
    <xf numFmtId="0" fontId="16" fillId="8" borderId="7" xfId="0" applyFont="1" applyFill="1" applyBorder="1" applyAlignment="1">
      <alignment horizontal="left" vertical="center" wrapText="1"/>
    </xf>
    <xf numFmtId="0" fontId="17" fillId="8" borderId="7" xfId="0" applyFont="1" applyFill="1" applyBorder="1" applyAlignment="1">
      <alignment horizontal="left" vertical="top" wrapText="1"/>
    </xf>
    <xf numFmtId="0" fontId="18" fillId="8" borderId="7" xfId="0" applyFont="1" applyFill="1" applyBorder="1" applyAlignment="1">
      <alignment horizontal="center" vertical="center"/>
    </xf>
    <xf numFmtId="0" fontId="19" fillId="8" borderId="7" xfId="0" applyFont="1" applyFill="1" applyBorder="1" applyAlignment="1">
      <alignment horizontal="center" vertical="center"/>
    </xf>
    <xf numFmtId="0" fontId="20" fillId="8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8" fillId="8" borderId="8" xfId="0" applyNumberFormat="1" applyFont="1" applyFill="1" applyBorder="1" applyAlignment="1">
      <alignment horizontal="center" vertical="center"/>
    </xf>
    <xf numFmtId="0" fontId="17" fillId="8" borderId="8" xfId="0" applyFont="1" applyFill="1" applyBorder="1" applyAlignment="1">
      <alignment horizontal="left" vertical="center" wrapText="1"/>
    </xf>
    <xf numFmtId="0" fontId="13" fillId="9" borderId="7" xfId="0" applyFont="1" applyFill="1" applyBorder="1" applyAlignment="1">
      <alignment horizontal="center" vertical="center"/>
    </xf>
    <xf numFmtId="0" fontId="14" fillId="9" borderId="7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left" vertical="center" wrapText="1"/>
    </xf>
    <xf numFmtId="0" fontId="16" fillId="9" borderId="7" xfId="0" applyFont="1" applyFill="1" applyBorder="1" applyAlignment="1">
      <alignment horizontal="left" vertical="center" wrapText="1"/>
    </xf>
    <xf numFmtId="0" fontId="17" fillId="9" borderId="7" xfId="0" applyFont="1" applyFill="1" applyBorder="1" applyAlignment="1">
      <alignment horizontal="left" vertical="top" wrapText="1"/>
    </xf>
    <xf numFmtId="0" fontId="18" fillId="9" borderId="7" xfId="0" applyFont="1" applyFill="1" applyBorder="1" applyAlignment="1">
      <alignment horizontal="center" vertical="center"/>
    </xf>
    <xf numFmtId="0" fontId="19" fillId="9" borderId="7" xfId="0" applyFont="1" applyFill="1" applyBorder="1" applyAlignment="1">
      <alignment horizontal="center" vertical="center"/>
    </xf>
    <xf numFmtId="0" fontId="20" fillId="9" borderId="7" xfId="0" applyFont="1" applyFill="1" applyBorder="1" applyAlignment="1">
      <alignment horizontal="center" vertical="center"/>
    </xf>
    <xf numFmtId="164" fontId="8" fillId="9" borderId="8" xfId="0" applyNumberFormat="1" applyFont="1" applyFill="1" applyBorder="1" applyAlignment="1">
      <alignment horizontal="center" vertical="center"/>
    </xf>
    <xf numFmtId="0" fontId="17" fillId="9" borderId="8" xfId="0" applyFont="1" applyFill="1" applyBorder="1" applyAlignment="1">
      <alignment horizontal="left" vertical="center" wrapText="1"/>
    </xf>
    <xf numFmtId="0" fontId="21" fillId="9" borderId="7" xfId="0" applyFont="1" applyFill="1" applyBorder="1" applyAlignment="1">
      <alignment horizontal="center" vertical="center"/>
    </xf>
    <xf numFmtId="0" fontId="22" fillId="9" borderId="7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23" fillId="9" borderId="7" xfId="0" applyFont="1" applyFill="1" applyBorder="1" applyAlignment="1">
      <alignment horizontal="center" vertical="center"/>
    </xf>
    <xf numFmtId="0" fontId="24" fillId="9" borderId="7" xfId="0" applyFont="1" applyFill="1" applyBorder="1" applyAlignment="1">
      <alignment horizontal="center" vertical="center"/>
    </xf>
    <xf numFmtId="0" fontId="21" fillId="10" borderId="7" xfId="0" applyFont="1" applyFill="1" applyBorder="1" applyAlignment="1">
      <alignment horizontal="center" vertical="center"/>
    </xf>
    <xf numFmtId="0" fontId="22" fillId="10" borderId="7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 vertical="center" wrapText="1"/>
    </xf>
    <xf numFmtId="0" fontId="16" fillId="10" borderId="7" xfId="0" applyFont="1" applyFill="1" applyBorder="1" applyAlignment="1">
      <alignment horizontal="left" vertical="center" wrapText="1"/>
    </xf>
    <xf numFmtId="0" fontId="17" fillId="10" borderId="7" xfId="0" applyFont="1" applyFill="1" applyBorder="1" applyAlignment="1">
      <alignment horizontal="left" vertical="top" wrapText="1"/>
    </xf>
    <xf numFmtId="0" fontId="18" fillId="10" borderId="7" xfId="0" applyFont="1" applyFill="1" applyBorder="1" applyAlignment="1">
      <alignment horizontal="center" vertical="center"/>
    </xf>
    <xf numFmtId="0" fontId="23" fillId="10" borderId="7" xfId="0" applyFont="1" applyFill="1" applyBorder="1" applyAlignment="1">
      <alignment horizontal="center" vertical="center"/>
    </xf>
    <xf numFmtId="0" fontId="24" fillId="10" borderId="7" xfId="0" applyFont="1" applyFill="1" applyBorder="1" applyAlignment="1">
      <alignment horizontal="center" vertical="center"/>
    </xf>
    <xf numFmtId="164" fontId="8" fillId="10" borderId="8" xfId="0" applyNumberFormat="1" applyFont="1" applyFill="1" applyBorder="1" applyAlignment="1">
      <alignment horizontal="center" vertical="center"/>
    </xf>
    <xf numFmtId="0" fontId="17" fillId="10" borderId="8" xfId="0" applyFont="1" applyFill="1" applyBorder="1" applyAlignment="1">
      <alignment horizontal="left" vertical="center" wrapText="1"/>
    </xf>
    <xf numFmtId="0" fontId="25" fillId="11" borderId="7" xfId="0" applyFont="1" applyFill="1" applyBorder="1" applyAlignment="1">
      <alignment horizontal="center" vertical="center"/>
    </xf>
    <xf numFmtId="0" fontId="26" fillId="11" borderId="7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left" vertical="center" wrapText="1"/>
    </xf>
    <xf numFmtId="0" fontId="16" fillId="11" borderId="7" xfId="0" applyFont="1" applyFill="1" applyBorder="1" applyAlignment="1">
      <alignment horizontal="left" vertical="center" wrapText="1"/>
    </xf>
    <xf numFmtId="0" fontId="17" fillId="11" borderId="7" xfId="0" applyFont="1" applyFill="1" applyBorder="1" applyAlignment="1">
      <alignment horizontal="left" vertical="top" wrapText="1"/>
    </xf>
    <xf numFmtId="0" fontId="18" fillId="11" borderId="7" xfId="0" applyFont="1" applyFill="1" applyBorder="1" applyAlignment="1">
      <alignment horizontal="center" vertical="center"/>
    </xf>
    <xf numFmtId="0" fontId="27" fillId="11" borderId="7" xfId="0" applyFont="1" applyFill="1" applyBorder="1" applyAlignment="1">
      <alignment horizontal="center" vertical="center"/>
    </xf>
    <xf numFmtId="0" fontId="28" fillId="11" borderId="7" xfId="0" applyFont="1" applyFill="1" applyBorder="1" applyAlignment="1">
      <alignment horizontal="center" vertical="center"/>
    </xf>
    <xf numFmtId="164" fontId="8" fillId="11" borderId="8" xfId="0" applyNumberFormat="1" applyFont="1" applyFill="1" applyBorder="1" applyAlignment="1">
      <alignment horizontal="center" vertical="center"/>
    </xf>
    <xf numFmtId="0" fontId="17" fillId="11" borderId="8" xfId="0" applyFont="1" applyFill="1" applyBorder="1" applyAlignment="1">
      <alignment horizontal="left" vertical="center" wrapText="1"/>
    </xf>
    <xf numFmtId="0" fontId="25" fillId="9" borderId="7" xfId="0" applyFont="1" applyFill="1" applyBorder="1" applyAlignment="1">
      <alignment horizontal="center" vertical="center"/>
    </xf>
    <xf numFmtId="0" fontId="26" fillId="9" borderId="7" xfId="0" applyFont="1" applyFill="1" applyBorder="1" applyAlignment="1">
      <alignment horizontal="center" vertical="center"/>
    </xf>
    <xf numFmtId="0" fontId="27" fillId="9" borderId="7" xfId="0" applyFont="1" applyFill="1" applyBorder="1" applyAlignment="1">
      <alignment horizontal="center" vertical="center"/>
    </xf>
    <xf numFmtId="0" fontId="28" fillId="9" borderId="7" xfId="0" applyFont="1" applyFill="1" applyBorder="1" applyAlignment="1">
      <alignment horizontal="center" vertical="center"/>
    </xf>
    <xf numFmtId="0" fontId="29" fillId="9" borderId="7" xfId="0" applyFont="1" applyFill="1" applyBorder="1" applyAlignment="1">
      <alignment horizontal="center" vertical="center"/>
    </xf>
    <xf numFmtId="0" fontId="30" fillId="9" borderId="7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31" fillId="9" borderId="7" xfId="0" applyFont="1" applyFill="1" applyBorder="1" applyAlignment="1">
      <alignment horizontal="center" vertical="center"/>
    </xf>
    <xf numFmtId="0" fontId="32" fillId="9" borderId="7" xfId="0" applyFont="1" applyFill="1" applyBorder="1" applyAlignment="1">
      <alignment horizontal="center" vertical="center"/>
    </xf>
    <xf numFmtId="0" fontId="29" fillId="12" borderId="7" xfId="0" applyFont="1" applyFill="1" applyBorder="1" applyAlignment="1">
      <alignment horizontal="center" vertical="center"/>
    </xf>
    <xf numFmtId="0" fontId="30" fillId="12" borderId="7" xfId="0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left" vertical="center" wrapText="1"/>
    </xf>
    <xf numFmtId="0" fontId="16" fillId="12" borderId="7" xfId="0" applyFont="1" applyFill="1" applyBorder="1" applyAlignment="1">
      <alignment horizontal="left" vertical="center" wrapText="1"/>
    </xf>
    <xf numFmtId="0" fontId="17" fillId="12" borderId="7" xfId="0" applyFont="1" applyFill="1" applyBorder="1" applyAlignment="1">
      <alignment horizontal="left" vertical="top" wrapText="1"/>
    </xf>
    <xf numFmtId="0" fontId="18" fillId="12" borderId="7" xfId="0" applyFont="1" applyFill="1" applyBorder="1" applyAlignment="1">
      <alignment horizontal="center" vertical="center"/>
    </xf>
    <xf numFmtId="0" fontId="31" fillId="12" borderId="7" xfId="0" applyFont="1" applyFill="1" applyBorder="1" applyAlignment="1">
      <alignment horizontal="center" vertical="center"/>
    </xf>
    <xf numFmtId="0" fontId="32" fillId="12" borderId="7" xfId="0" applyFont="1" applyFill="1" applyBorder="1" applyAlignment="1">
      <alignment horizontal="center" vertical="center"/>
    </xf>
    <xf numFmtId="164" fontId="8" fillId="12" borderId="8" xfId="0" applyNumberFormat="1" applyFont="1" applyFill="1" applyBorder="1" applyAlignment="1">
      <alignment horizontal="center" vertical="center"/>
    </xf>
    <xf numFmtId="0" fontId="17" fillId="12" borderId="8" xfId="0" applyFont="1" applyFill="1" applyBorder="1" applyAlignment="1">
      <alignment horizontal="left" vertical="center" wrapText="1"/>
    </xf>
    <xf numFmtId="0" fontId="10" fillId="0" borderId="0" xfId="0" applyFont="1"/>
    <xf numFmtId="0" fontId="12" fillId="13" borderId="6" xfId="0" applyFont="1" applyFill="1" applyBorder="1" applyAlignment="1">
      <alignment horizontal="center" vertical="center"/>
    </xf>
    <xf numFmtId="0" fontId="33" fillId="14" borderId="9" xfId="0" applyFont="1" applyFill="1" applyBorder="1" applyAlignment="1">
      <alignment horizontal="center" vertical="center"/>
    </xf>
    <xf numFmtId="0" fontId="16" fillId="14" borderId="9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center" vertical="center"/>
    </xf>
    <xf numFmtId="164" fontId="0" fillId="14" borderId="9" xfId="0" applyNumberFormat="1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17" fillId="14" borderId="9" xfId="0" applyFont="1" applyFill="1" applyBorder="1" applyAlignment="1">
      <alignment horizontal="left" vertical="center" wrapText="1"/>
    </xf>
    <xf numFmtId="0" fontId="33" fillId="9" borderId="9" xfId="0" applyFont="1" applyFill="1" applyBorder="1" applyAlignment="1">
      <alignment horizontal="center" vertical="center"/>
    </xf>
    <xf numFmtId="0" fontId="16" fillId="9" borderId="9" xfId="0" applyFont="1" applyFill="1" applyBorder="1" applyAlignment="1">
      <alignment horizontal="left" vertical="center" wrapText="1"/>
    </xf>
    <xf numFmtId="164" fontId="0" fillId="9" borderId="9" xfId="0" applyNumberForma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17" fillId="9" borderId="9" xfId="0" applyFont="1" applyFill="1" applyBorder="1" applyAlignment="1">
      <alignment horizontal="left" vertical="center" wrapText="1"/>
    </xf>
    <xf numFmtId="0" fontId="34" fillId="9" borderId="9" xfId="0" applyFont="1" applyFill="1" applyBorder="1" applyAlignment="1">
      <alignment horizontal="center" vertical="center"/>
    </xf>
    <xf numFmtId="0" fontId="34" fillId="14" borderId="9" xfId="0" applyFont="1" applyFill="1" applyBorder="1" applyAlignment="1">
      <alignment horizontal="center" vertical="center"/>
    </xf>
    <xf numFmtId="0" fontId="35" fillId="14" borderId="9" xfId="0" applyFont="1" applyFill="1" applyBorder="1" applyAlignment="1">
      <alignment horizontal="center" vertical="center"/>
    </xf>
    <xf numFmtId="0" fontId="35" fillId="9" borderId="9" xfId="0" applyFont="1" applyFill="1" applyBorder="1" applyAlignment="1">
      <alignment horizontal="center" vertical="center"/>
    </xf>
    <xf numFmtId="0" fontId="36" fillId="9" borderId="9" xfId="0" applyFont="1" applyFill="1" applyBorder="1" applyAlignment="1">
      <alignment horizontal="center" vertical="center"/>
    </xf>
    <xf numFmtId="0" fontId="36" fillId="14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37" fillId="3" borderId="0" xfId="0" applyFont="1" applyFill="1" applyAlignment="1">
      <alignment horizontal="left" vertical="center"/>
    </xf>
    <xf numFmtId="0" fontId="18" fillId="2" borderId="0" xfId="0" applyFont="1" applyFill="1" applyAlignment="1">
      <alignment vertical="top" wrapText="1"/>
    </xf>
    <xf numFmtId="0" fontId="38" fillId="0" borderId="0" xfId="0" applyFont="1" applyAlignment="1">
      <alignment vertical="top" wrapText="1"/>
    </xf>
    <xf numFmtId="0" fontId="0" fillId="15" borderId="1" xfId="0" applyFill="1" applyBorder="1"/>
    <xf numFmtId="0" fontId="37" fillId="4" borderId="0" xfId="0" applyFont="1" applyFill="1" applyAlignment="1">
      <alignment horizontal="left" vertical="center"/>
    </xf>
    <xf numFmtId="0" fontId="37" fillId="5" borderId="0" xfId="0" applyFont="1" applyFill="1" applyAlignment="1">
      <alignment horizontal="left" vertical="center"/>
    </xf>
    <xf numFmtId="0" fontId="37" fillId="6" borderId="0" xfId="0" applyFont="1" applyFill="1" applyAlignment="1">
      <alignment horizontal="left" vertical="center"/>
    </xf>
    <xf numFmtId="0" fontId="20" fillId="2" borderId="7" xfId="0" applyFont="1" applyFill="1" applyBorder="1" applyAlignment="1">
      <alignment horizontal="center" vertical="center"/>
    </xf>
    <xf numFmtId="0" fontId="39" fillId="2" borderId="7" xfId="0" applyFont="1" applyFill="1" applyBorder="1" applyAlignment="1">
      <alignment vertical="center"/>
    </xf>
    <xf numFmtId="0" fontId="17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39" fillId="9" borderId="7" xfId="0" applyFont="1" applyFill="1" applyBorder="1" applyAlignment="1">
      <alignment vertical="center"/>
    </xf>
    <xf numFmtId="0" fontId="17" fillId="9" borderId="7" xfId="0" applyFont="1" applyFill="1" applyBorder="1" applyAlignment="1">
      <alignment vertical="center" wrapText="1"/>
    </xf>
    <xf numFmtId="0" fontId="3" fillId="9" borderId="7" xfId="0" applyFont="1" applyFill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32" fillId="2" borderId="7" xfId="0" applyFont="1" applyFill="1" applyBorder="1" applyAlignment="1">
      <alignment horizontal="center" vertical="center"/>
    </xf>
    <xf numFmtId="0" fontId="40" fillId="2" borderId="7" xfId="0" applyFont="1" applyFill="1" applyBorder="1" applyAlignment="1">
      <alignment horizontal="center" vertical="center"/>
    </xf>
    <xf numFmtId="0" fontId="40" fillId="9" borderId="7" xfId="0" applyFont="1" applyFill="1" applyBorder="1" applyAlignment="1">
      <alignment horizontal="center" vertical="center"/>
    </xf>
    <xf numFmtId="0" fontId="41" fillId="2" borderId="7" xfId="0" applyFont="1" applyFill="1" applyBorder="1" applyAlignment="1">
      <alignment horizontal="center" vertical="center"/>
    </xf>
    <xf numFmtId="0" fontId="41" fillId="9" borderId="7" xfId="0" applyFont="1" applyFill="1" applyBorder="1" applyAlignment="1">
      <alignment horizontal="center" vertical="center"/>
    </xf>
    <xf numFmtId="0" fontId="42" fillId="2" borderId="7" xfId="0" applyFont="1" applyFill="1" applyBorder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38" fillId="0" borderId="0" xfId="0" applyFont="1"/>
    <xf numFmtId="0" fontId="12" fillId="16" borderId="10" xfId="0" applyFont="1" applyFill="1" applyBorder="1" applyAlignment="1">
      <alignment horizontal="center" vertical="center" wrapText="1"/>
    </xf>
    <xf numFmtId="0" fontId="44" fillId="17" borderId="11" xfId="0" applyFont="1" applyFill="1" applyBorder="1" applyAlignment="1">
      <alignment horizontal="center" vertical="center"/>
    </xf>
    <xf numFmtId="0" fontId="45" fillId="17" borderId="11" xfId="0" applyFont="1" applyFill="1" applyBorder="1" applyAlignment="1">
      <alignment horizontal="center" vertical="center"/>
    </xf>
    <xf numFmtId="0" fontId="46" fillId="17" borderId="11" xfId="0" applyFont="1" applyFill="1" applyBorder="1" applyAlignment="1">
      <alignment vertical="center" wrapText="1"/>
    </xf>
    <xf numFmtId="0" fontId="18" fillId="17" borderId="11" xfId="0" applyFont="1" applyFill="1" applyBorder="1" applyAlignment="1">
      <alignment horizontal="center" vertical="center"/>
    </xf>
    <xf numFmtId="0" fontId="17" fillId="17" borderId="11" xfId="0" applyFont="1" applyFill="1" applyBorder="1" applyAlignment="1">
      <alignment vertical="center" wrapText="1"/>
    </xf>
    <xf numFmtId="0" fontId="20" fillId="17" borderId="11" xfId="0" applyFont="1" applyFill="1" applyBorder="1" applyAlignment="1">
      <alignment horizontal="center" vertical="center"/>
    </xf>
    <xf numFmtId="0" fontId="17" fillId="17" borderId="11" xfId="0" applyFont="1" applyFill="1" applyBorder="1" applyAlignment="1">
      <alignment horizontal="center" vertical="center"/>
    </xf>
    <xf numFmtId="0" fontId="47" fillId="17" borderId="11" xfId="0" applyFont="1" applyFill="1" applyBorder="1" applyAlignment="1">
      <alignment horizontal="center" vertical="center"/>
    </xf>
    <xf numFmtId="0" fontId="44" fillId="9" borderId="11" xfId="0" applyFont="1" applyFill="1" applyBorder="1" applyAlignment="1">
      <alignment horizontal="center" vertical="center"/>
    </xf>
    <xf numFmtId="0" fontId="45" fillId="9" borderId="11" xfId="0" applyFont="1" applyFill="1" applyBorder="1" applyAlignment="1">
      <alignment horizontal="center" vertical="center"/>
    </xf>
    <xf numFmtId="0" fontId="46" fillId="9" borderId="11" xfId="0" applyFont="1" applyFill="1" applyBorder="1" applyAlignment="1">
      <alignment vertical="center" wrapText="1"/>
    </xf>
    <xf numFmtId="0" fontId="18" fillId="9" borderId="11" xfId="0" applyFont="1" applyFill="1" applyBorder="1" applyAlignment="1">
      <alignment horizontal="center" vertical="center"/>
    </xf>
    <xf numFmtId="0" fontId="17" fillId="9" borderId="11" xfId="0" applyFont="1" applyFill="1" applyBorder="1" applyAlignment="1">
      <alignment vertical="center" wrapText="1"/>
    </xf>
    <xf numFmtId="0" fontId="20" fillId="9" borderId="11" xfId="0" applyFont="1" applyFill="1" applyBorder="1" applyAlignment="1">
      <alignment horizontal="center" vertical="center"/>
    </xf>
    <xf numFmtId="0" fontId="17" fillId="9" borderId="11" xfId="0" applyFont="1" applyFill="1" applyBorder="1" applyAlignment="1">
      <alignment horizontal="center" vertical="center"/>
    </xf>
    <xf numFmtId="0" fontId="47" fillId="9" borderId="11" xfId="0" applyFont="1" applyFill="1" applyBorder="1" applyAlignment="1">
      <alignment horizontal="center" vertical="center"/>
    </xf>
    <xf numFmtId="0" fontId="40" fillId="17" borderId="11" xfId="0" applyFont="1" applyFill="1" applyBorder="1" applyAlignment="1">
      <alignment horizontal="center" vertical="center"/>
    </xf>
    <xf numFmtId="0" fontId="24" fillId="9" borderId="11" xfId="0" applyFont="1" applyFill="1" applyBorder="1" applyAlignment="1">
      <alignment horizontal="center" vertical="center"/>
    </xf>
    <xf numFmtId="0" fontId="48" fillId="17" borderId="11" xfId="0" applyFont="1" applyFill="1" applyBorder="1" applyAlignment="1">
      <alignment horizontal="center" vertical="center"/>
    </xf>
    <xf numFmtId="0" fontId="49" fillId="9" borderId="11" xfId="0" applyFont="1" applyFill="1" applyBorder="1" applyAlignment="1">
      <alignment horizontal="center" vertical="center"/>
    </xf>
    <xf numFmtId="0" fontId="50" fillId="17" borderId="11" xfId="0" applyFont="1" applyFill="1" applyBorder="1" applyAlignment="1">
      <alignment horizontal="center" vertical="center"/>
    </xf>
    <xf numFmtId="0" fontId="51" fillId="9" borderId="11" xfId="0" applyFont="1" applyFill="1" applyBorder="1" applyAlignment="1">
      <alignment horizontal="center" vertical="center"/>
    </xf>
    <xf numFmtId="0" fontId="41" fillId="17" borderId="11" xfId="0" applyFont="1" applyFill="1" applyBorder="1" applyAlignment="1">
      <alignment horizontal="center" vertical="center"/>
    </xf>
    <xf numFmtId="0" fontId="52" fillId="9" borderId="11" xfId="0" applyFont="1" applyFill="1" applyBorder="1" applyAlignment="1">
      <alignment horizontal="center" vertical="center"/>
    </xf>
    <xf numFmtId="0" fontId="53" fillId="17" borderId="11" xfId="0" applyFont="1" applyFill="1" applyBorder="1" applyAlignment="1">
      <alignment horizontal="center" vertical="center"/>
    </xf>
    <xf numFmtId="0" fontId="54" fillId="9" borderId="11" xfId="0" applyFont="1" applyFill="1" applyBorder="1" applyAlignment="1">
      <alignment horizontal="center" vertical="center"/>
    </xf>
    <xf numFmtId="0" fontId="55" fillId="17" borderId="11" xfId="0" applyFont="1" applyFill="1" applyBorder="1" applyAlignment="1">
      <alignment horizontal="center" vertical="center"/>
    </xf>
    <xf numFmtId="0" fontId="55" fillId="9" borderId="11" xfId="0" applyFont="1" applyFill="1" applyBorder="1" applyAlignment="1">
      <alignment horizontal="center" vertical="center"/>
    </xf>
    <xf numFmtId="0" fontId="56" fillId="17" borderId="11" xfId="0" applyFont="1" applyFill="1" applyBorder="1" applyAlignment="1">
      <alignment horizontal="center" vertical="center"/>
    </xf>
    <xf numFmtId="0" fontId="57" fillId="0" borderId="0" xfId="0" applyFont="1"/>
    <xf numFmtId="0" fontId="12" fillId="18" borderId="0" xfId="0" applyFont="1" applyFill="1" applyAlignment="1">
      <alignment horizontal="center" vertical="center"/>
    </xf>
    <xf numFmtId="0" fontId="58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59" fillId="2" borderId="7" xfId="0" applyFont="1" applyFill="1" applyBorder="1" applyAlignment="1">
      <alignment vertical="center"/>
    </xf>
    <xf numFmtId="0" fontId="58" fillId="9" borderId="7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59" fillId="9" borderId="7" xfId="0" applyFont="1" applyFill="1" applyBorder="1" applyAlignment="1">
      <alignment vertical="center"/>
    </xf>
  </cellXfs>
  <cellStyles count="1">
    <cellStyle name="Normal" xfId="0" builtinId="0"/>
  </cellStyles>
  <dxfs count="5">
    <dxf>
      <font>
        <b/>
        <color rgb="2E7D32"/>
      </font>
      <fill>
        <patternFill patternType="solid">
          <bgColor rgb="C8E6C9"/>
        </patternFill>
      </fill>
    </dxf>
    <dxf>
      <font>
        <b/>
        <color rgb="E65100"/>
      </font>
      <fill>
        <patternFill patternType="solid">
          <bgColor rgb="FFE0B2"/>
        </patternFill>
      </fill>
    </dxf>
    <dxf>
      <font>
        <color rgb="9E9E9E"/>
      </font>
      <fill>
        <patternFill patternType="solid">
          <bgColor rgb="F5F5F5"/>
        </patternFill>
      </fill>
    </dxf>
    <dxf>
      <font>
        <b/>
        <color rgb="2E7D32"/>
      </font>
      <fill>
        <patternFill patternType="solid">
          <bgColor rgb="C8E6C9"/>
        </patternFill>
      </fill>
    </dxf>
    <dxf>
      <font>
        <b/>
        <color rgb="E65100"/>
      </font>
      <fill>
        <patternFill patternType="solid">
          <bgColor rgb="FFE0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ocs.anthropic.com/en/docs/claude-code/overview" TargetMode="External"/><Relationship Id="rId2" Type="http://schemas.openxmlformats.org/officeDocument/2006/relationships/hyperlink" Target="https://github.com/anthropics/claude-code" TargetMode="External"/><Relationship Id="rId3" Type="http://schemas.openxmlformats.org/officeDocument/2006/relationships/hyperlink" Target="https://docs.anthropic.com/en/docs/claude-code/memory" TargetMode="External"/><Relationship Id="rId4" Type="http://schemas.openxmlformats.org/officeDocument/2006/relationships/hyperlink" Target="https://docs.anthropic.com/en/docs/claude-code/mcp" TargetMode="External"/><Relationship Id="rId5" Type="http://schemas.openxmlformats.org/officeDocument/2006/relationships/hyperlink" Target="https://docs.anthropic.com/en/docs/claude-code/hooks" TargetMode="External"/><Relationship Id="rId6" Type="http://schemas.openxmlformats.org/officeDocument/2006/relationships/hyperlink" Target="https://docs.anthropic.com/en/docs/claude-code/sdk" TargetMode="External"/><Relationship Id="rId7" Type="http://schemas.openxmlformats.org/officeDocument/2006/relationships/hyperlink" Target="https://docs.anthropic.com/en/api/getting-started" TargetMode="External"/><Relationship Id="rId8" Type="http://schemas.openxmlformats.org/officeDocument/2006/relationships/hyperlink" Target="https://docs.anthropic.com/en/docs/build-with-claude/prompt-engineering/overview" TargetMode="External"/><Relationship Id="rId9" Type="http://schemas.openxmlformats.org/officeDocument/2006/relationships/hyperlink" Target="https://github.com/anthropics/prompt-eng-interactive-tutorial" TargetMode="External"/><Relationship Id="rId10" Type="http://schemas.openxmlformats.org/officeDocument/2006/relationships/hyperlink" Target="https://github.com/anthropics/courses" TargetMode="External"/><Relationship Id="rId11" Type="http://schemas.openxmlformats.org/officeDocument/2006/relationships/hyperlink" Target="https://nodejs.org/docs/latest/api/" TargetMode="External"/><Relationship Id="rId12" Type="http://schemas.openxmlformats.org/officeDocument/2006/relationships/hyperlink" Target="https://git-scm.com/docs" TargetMode="External"/><Relationship Id="rId13" Type="http://schemas.openxmlformats.org/officeDocument/2006/relationships/hyperlink" Target="https://www.typescriptlang.org/docs/" TargetMode="External"/><Relationship Id="rId14" Type="http://schemas.openxmlformats.org/officeDocument/2006/relationships/hyperlink" Target="https://code.visualstudio.com/download" TargetMode="External"/><Relationship Id="rId15" Type="http://schemas.openxmlformats.org/officeDocument/2006/relationships/hyperlink" Target="https://eslint.org/docs/latest/" TargetMode="External"/><Relationship Id="rId16" Type="http://schemas.openxmlformats.org/officeDocument/2006/relationships/hyperlink" Target="https://expressjs.com/" TargetMode="External"/><Relationship Id="rId17" Type="http://schemas.openxmlformats.org/officeDocument/2006/relationships/hyperlink" Target="https://react.dev/" TargetMode="External"/><Relationship Id="rId18" Type="http://schemas.openxmlformats.org/officeDocument/2006/relationships/hyperlink" Target="https://tailwindcss.com/docs/installation" TargetMode="External"/><Relationship Id="rId19" Type="http://schemas.openxmlformats.org/officeDocument/2006/relationships/hyperlink" Target="https://jestjs.io/" TargetMode="External"/><Relationship Id="rId20" Type="http://schemas.openxmlformats.org/officeDocument/2006/relationships/hyperlink" Target="https://www.prisma.io/docs" TargetMode="External"/><Relationship Id="rId21" Type="http://schemas.openxmlformats.org/officeDocument/2006/relationships/hyperlink" Target="https://docs.docker.com/" TargetMode="External"/><Relationship Id="rId22" Type="http://schemas.openxmlformats.org/officeDocument/2006/relationships/hyperlink" Target="https://docs.github.com/en/actions" TargetMode="External"/><Relationship Id="rId23" Type="http://schemas.openxmlformats.org/officeDocument/2006/relationships/hyperlink" Target="https://leetcode.com/" TargetMode="External"/><Relationship Id="rId24" Type="http://schemas.openxmlformats.org/officeDocument/2006/relationships/hyperlink" Target="https://www.hackerrank.com/" TargetMode="External"/><Relationship Id="rId25" Type="http://schemas.openxmlformats.org/officeDocument/2006/relationships/hyperlink" Target="https://learn.deeplearning.ai/courses/claude-code-a-highly-agentic-coding-assistant/lesson/66b35/introduction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learn.deeplearning.ai/courses/claude-code-a-highly-agentic-coding-assistant/lesson/66b35/introduction" TargetMode="External"/><Relationship Id="rId2" Type="http://schemas.openxmlformats.org/officeDocument/2006/relationships/hyperlink" Target="https://youtu.be/GepHGs_CZdk" TargetMode="External"/><Relationship Id="rId3" Type="http://schemas.openxmlformats.org/officeDocument/2006/relationships/hyperlink" Target="https://www.youtube.com/watch?v=HyzlYwjoXOQ" TargetMode="External"/><Relationship Id="rId4" Type="http://schemas.openxmlformats.org/officeDocument/2006/relationships/hyperlink" Target="https://www.youtube.com/watch?v=RGOj5yH7evk" TargetMode="External"/><Relationship Id="rId5" Type="http://schemas.openxmlformats.org/officeDocument/2006/relationships/hyperlink" Target="https://youtu.be/32M1al-Y6Ag" TargetMode="External"/><Relationship Id="rId6" Type="http://schemas.openxmlformats.org/officeDocument/2006/relationships/hyperlink" Target="https://www.youtube.com/watch?v=zQnBQ4tB3ZA" TargetMode="External"/><Relationship Id="rId7" Type="http://schemas.openxmlformats.org/officeDocument/2006/relationships/hyperlink" Target="https://youtu.be/CnH3kAXSrmU" TargetMode="External"/><Relationship Id="rId8" Type="http://schemas.openxmlformats.org/officeDocument/2006/relationships/hyperlink" Target="https://youtu.be/7r4xVDI2vho" TargetMode="External"/><Relationship Id="rId9" Type="http://schemas.openxmlformats.org/officeDocument/2006/relationships/hyperlink" Target="https://youtu.be/LDB4uaJ87e0" TargetMode="External"/><Relationship Id="rId10" Type="http://schemas.openxmlformats.org/officeDocument/2006/relationships/hyperlink" Target="https://www.youtube.com/playlist?list=PL4cUxeGkcC9gpXORlEHjc5bgnIi5HEGhw" TargetMode="External"/><Relationship Id="rId11" Type="http://schemas.openxmlformats.org/officeDocument/2006/relationships/hyperlink" Target="https://youtu.be/CYH04BJzamo" TargetMode="External"/><Relationship Id="rId12" Type="http://schemas.openxmlformats.org/officeDocument/2006/relationships/hyperlink" Target="https://www.youtube.com/watch?v=3c-iBn73dDE" TargetMode="External"/><Relationship Id="rId13" Type="http://schemas.openxmlformats.org/officeDocument/2006/relationships/hyperlink" Target="https://youtu.be/eB0nUzAI7M8" TargetMode="External"/><Relationship Id="rId14" Type="http://schemas.openxmlformats.org/officeDocument/2006/relationships/hyperlink" Target="https://youtu.be/scEDHsr3APg" TargetMode="External"/><Relationship Id="rId15" Type="http://schemas.openxmlformats.org/officeDocument/2006/relationships/hyperlink" Target="https://github.com/anthropics/prompt-eng-interactive-tutorial" TargetMode="External"/><Relationship Id="rId16" Type="http://schemas.openxmlformats.org/officeDocument/2006/relationships/hyperlink" Target="https://www.youtube.com/@Fireship" TargetMode="External"/><Relationship Id="rId17" Type="http://schemas.openxmlformats.org/officeDocument/2006/relationships/hyperlink" Target="https://www.youtube.com/@TraversyMedia" TargetMode="External"/><Relationship Id="rId18" Type="http://schemas.openxmlformats.org/officeDocument/2006/relationships/hyperlink" Target="https://www.youtube.com/@freecodecamp" TargetMode="External"/><Relationship Id="rId19" Type="http://schemas.openxmlformats.org/officeDocument/2006/relationships/hyperlink" Target="https://www.youtube.com/@TechWorldwithNana" TargetMode="External"/><Relationship Id="rId20" Type="http://schemas.openxmlformats.org/officeDocument/2006/relationships/hyperlink" Target="https://www.youtube.com/@NetNinja" TargetMode="External"/><Relationship Id="rId21" Type="http://schemas.openxmlformats.org/officeDocument/2006/relationships/hyperlink" Target="https://www.youtube.com/@programmingwithmo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1F3B"/>
  </sheetPr>
  <dimension ref="B2:F1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5" customWidth="1"/>
    <col min="3" max="6" width="18" customWidth="1"/>
    <col min="7" max="7" width="3" customWidth="1"/>
  </cols>
  <sheetData>
    <row r="2" ht="45" customHeight="1" spans="2:6" x14ac:dyDescent="0.25">
      <c r="B2" s="1" t="s">
        <v>0</v>
      </c>
      <c r="C2" s="1"/>
      <c r="D2" s="1"/>
      <c r="E2" s="1"/>
      <c r="F2" s="1"/>
    </row>
    <row r="3" ht="25" customHeight="1" spans="2:6" x14ac:dyDescent="0.25">
      <c r="B3" s="2" t="s">
        <v>1</v>
      </c>
      <c r="C3" s="2"/>
      <c r="D3" s="2"/>
      <c r="E3" s="2"/>
      <c r="F3" s="2"/>
    </row>
    <row r="4" ht="15" customHeight="1" x14ac:dyDescent="0.25"/>
    <row r="5" ht="22" customHeight="1" spans="2:6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ht="35" customHeight="1" spans="2:6" x14ac:dyDescent="0.25"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</row>
    <row r="8" ht="10" customHeight="1" x14ac:dyDescent="0.25"/>
    <row r="9" ht="30" customHeight="1" spans="2:6" x14ac:dyDescent="0.25">
      <c r="B9" s="5" t="s">
        <v>12</v>
      </c>
      <c r="C9" s="5"/>
      <c r="D9" s="5"/>
      <c r="E9" s="5"/>
      <c r="F9" s="5"/>
    </row>
    <row r="10" ht="45" customHeight="1" spans="2:6" x14ac:dyDescent="0.25">
      <c r="B10" s="6" t="s">
        <v>13</v>
      </c>
      <c r="C10" s="7" t="s">
        <v>14</v>
      </c>
      <c r="D10" s="8" t="s">
        <v>15</v>
      </c>
      <c r="E10" s="8"/>
      <c r="F10" s="8"/>
    </row>
    <row r="11" ht="45" customHeight="1" spans="2:6" x14ac:dyDescent="0.25">
      <c r="B11" s="9" t="s">
        <v>16</v>
      </c>
      <c r="C11" s="7" t="s">
        <v>17</v>
      </c>
      <c r="D11" s="8" t="s">
        <v>18</v>
      </c>
      <c r="E11" s="8"/>
      <c r="F11" s="8"/>
    </row>
    <row r="12" ht="45" customHeight="1" spans="2:6" x14ac:dyDescent="0.25">
      <c r="B12" s="10" t="s">
        <v>19</v>
      </c>
      <c r="C12" s="7" t="s">
        <v>20</v>
      </c>
      <c r="D12" s="8" t="s">
        <v>21</v>
      </c>
      <c r="E12" s="8"/>
      <c r="F12" s="8"/>
    </row>
    <row r="13" ht="45" customHeight="1" spans="2:6" x14ac:dyDescent="0.25">
      <c r="B13" s="11" t="s">
        <v>22</v>
      </c>
      <c r="C13" s="7" t="s">
        <v>23</v>
      </c>
      <c r="D13" s="8" t="s">
        <v>24</v>
      </c>
      <c r="E13" s="8"/>
      <c r="F13" s="8"/>
    </row>
    <row r="15" ht="30" customHeight="1" spans="2:6" x14ac:dyDescent="0.25">
      <c r="B15" s="5" t="s">
        <v>25</v>
      </c>
      <c r="C15" s="5"/>
      <c r="D15" s="5"/>
      <c r="E15" s="5"/>
      <c r="F15" s="5"/>
    </row>
    <row r="16" ht="28" customHeight="1" spans="2:2" x14ac:dyDescent="0.25">
      <c r="B16" s="12" t="s">
        <v>26</v>
      </c>
    </row>
    <row r="17" ht="28" customHeight="1" spans="2:2" x14ac:dyDescent="0.25">
      <c r="B17" s="12" t="s">
        <v>27</v>
      </c>
    </row>
    <row r="18" ht="28" customHeight="1" spans="2:2" x14ac:dyDescent="0.25">
      <c r="B18" s="12" t="s">
        <v>28</v>
      </c>
    </row>
  </sheetData>
  <mergeCells count="8">
    <mergeCell ref="B2:F2"/>
    <mergeCell ref="B3:F3"/>
    <mergeCell ref="B9:F9"/>
    <mergeCell ref="D10:F10"/>
    <mergeCell ref="D11:F11"/>
    <mergeCell ref="D12:F12"/>
    <mergeCell ref="D13:F13"/>
    <mergeCell ref="B15:F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285F4"/>
    <pageSetUpPr fitToPage="1"/>
  </sheetPr>
  <dimension ref="A1:N3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8" customWidth="1"/>
    <col min="4" max="4" width="12" customWidth="1"/>
    <col min="5" max="5" width="32" customWidth="1"/>
    <col min="6" max="6" width="50" customWidth="1"/>
    <col min="7" max="8" width="60" customWidth="1"/>
    <col min="9" max="9" width="8" customWidth="1"/>
    <col min="10" max="11" width="12" customWidth="1"/>
    <col min="12" max="13" width="15" customWidth="1"/>
    <col min="14" max="14" width="20" customWidth="1"/>
    <col min="15" max="15" width="3" customWidth="1"/>
  </cols>
  <sheetData>
    <row r="1" ht="40" customHeight="1" spans="2:14" x14ac:dyDescent="0.25">
      <c r="B1" s="13" t="s">
        <v>29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ht="22" customHeight="1" spans="2:14" x14ac:dyDescent="0.25">
      <c r="B2" s="14" t="s">
        <v>30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ht="32" customHeight="1" spans="1:14" x14ac:dyDescent="0.25">
      <c r="A3" s="15" t="s">
        <v>31</v>
      </c>
      <c r="B3" s="15" t="s">
        <v>32</v>
      </c>
      <c r="C3" s="15" t="s">
        <v>33</v>
      </c>
      <c r="D3" s="15" t="s">
        <v>34</v>
      </c>
      <c r="E3" s="15" t="s">
        <v>35</v>
      </c>
      <c r="F3" s="15" t="s">
        <v>36</v>
      </c>
      <c r="G3" s="15" t="s">
        <v>37</v>
      </c>
      <c r="H3" s="15" t="s">
        <v>4</v>
      </c>
      <c r="I3" s="15" t="s">
        <v>38</v>
      </c>
      <c r="J3" s="15" t="s">
        <v>6</v>
      </c>
      <c r="K3" s="15" t="s">
        <v>39</v>
      </c>
      <c r="L3" s="15" t="s">
        <v>40</v>
      </c>
      <c r="M3" s="15" t="s">
        <v>41</v>
      </c>
      <c r="N3" s="15" t="s">
        <v>42</v>
      </c>
    </row>
    <row r="4" ht="110" customHeight="1" spans="1:14" x14ac:dyDescent="0.25">
      <c r="A4" t="s">
        <v>31</v>
      </c>
      <c r="B4" s="16">
        <v>1</v>
      </c>
      <c r="C4" s="17" t="s">
        <v>43</v>
      </c>
      <c r="D4" s="18" t="s">
        <v>44</v>
      </c>
      <c r="E4" s="19" t="s">
        <v>45</v>
      </c>
      <c r="F4" s="20" t="s">
        <v>46</v>
      </c>
      <c r="G4" s="21" t="s">
        <v>47</v>
      </c>
      <c r="H4" s="21" t="s">
        <v>48</v>
      </c>
      <c r="I4" s="22" t="s">
        <v>49</v>
      </c>
      <c r="J4" s="23" t="s">
        <v>50</v>
      </c>
      <c r="K4" s="24" t="s">
        <v>51</v>
      </c>
      <c r="L4" s="25" t="s">
        <v>52</v>
      </c>
      <c r="M4" s="26" t="s">
        <v>31</v>
      </c>
      <c r="N4" s="27" t="s">
        <v>31</v>
      </c>
    </row>
    <row r="5" ht="110" customHeight="1" spans="1:14" x14ac:dyDescent="0.25">
      <c r="A5" t="s">
        <v>31</v>
      </c>
      <c r="B5" s="28">
        <v>2</v>
      </c>
      <c r="C5" s="29" t="s">
        <v>43</v>
      </c>
      <c r="D5" s="18" t="s">
        <v>44</v>
      </c>
      <c r="E5" s="30" t="s">
        <v>53</v>
      </c>
      <c r="F5" s="31" t="s">
        <v>54</v>
      </c>
      <c r="G5" s="32" t="s">
        <v>55</v>
      </c>
      <c r="H5" s="32" t="s">
        <v>56</v>
      </c>
      <c r="I5" s="33" t="s">
        <v>49</v>
      </c>
      <c r="J5" s="34" t="s">
        <v>50</v>
      </c>
      <c r="K5" s="35" t="s">
        <v>57</v>
      </c>
      <c r="L5" s="25" t="s">
        <v>52</v>
      </c>
      <c r="M5" s="36" t="s">
        <v>31</v>
      </c>
      <c r="N5" s="37" t="s">
        <v>31</v>
      </c>
    </row>
    <row r="6" ht="110" customHeight="1" spans="1:14" x14ac:dyDescent="0.25">
      <c r="A6" t="s">
        <v>31</v>
      </c>
      <c r="B6" s="16">
        <v>3</v>
      </c>
      <c r="C6" s="17" t="s">
        <v>43</v>
      </c>
      <c r="D6" s="18" t="s">
        <v>44</v>
      </c>
      <c r="E6" s="19" t="s">
        <v>58</v>
      </c>
      <c r="F6" s="20" t="s">
        <v>59</v>
      </c>
      <c r="G6" s="21" t="s">
        <v>60</v>
      </c>
      <c r="H6" s="21" t="s">
        <v>61</v>
      </c>
      <c r="I6" s="22" t="s">
        <v>49</v>
      </c>
      <c r="J6" s="23" t="s">
        <v>62</v>
      </c>
      <c r="K6" s="24" t="s">
        <v>63</v>
      </c>
      <c r="L6" s="25" t="s">
        <v>52</v>
      </c>
      <c r="M6" s="26" t="s">
        <v>31</v>
      </c>
      <c r="N6" s="27" t="s">
        <v>31</v>
      </c>
    </row>
    <row r="7" ht="110" customHeight="1" spans="1:14" x14ac:dyDescent="0.25">
      <c r="A7" t="s">
        <v>31</v>
      </c>
      <c r="B7" s="28">
        <v>4</v>
      </c>
      <c r="C7" s="29" t="s">
        <v>43</v>
      </c>
      <c r="D7" s="18" t="s">
        <v>44</v>
      </c>
      <c r="E7" s="30" t="s">
        <v>64</v>
      </c>
      <c r="F7" s="31" t="s">
        <v>65</v>
      </c>
      <c r="G7" s="32" t="s">
        <v>66</v>
      </c>
      <c r="H7" s="32" t="s">
        <v>67</v>
      </c>
      <c r="I7" s="33" t="s">
        <v>49</v>
      </c>
      <c r="J7" s="34" t="s">
        <v>62</v>
      </c>
      <c r="K7" s="35" t="s">
        <v>68</v>
      </c>
      <c r="L7" s="25" t="s">
        <v>52</v>
      </c>
      <c r="M7" s="36" t="s">
        <v>31</v>
      </c>
      <c r="N7" s="37" t="s">
        <v>31</v>
      </c>
    </row>
    <row r="8" ht="110" customHeight="1" spans="1:14" x14ac:dyDescent="0.25">
      <c r="A8" t="s">
        <v>31</v>
      </c>
      <c r="B8" s="16">
        <v>5</v>
      </c>
      <c r="C8" s="17" t="s">
        <v>43</v>
      </c>
      <c r="D8" s="18" t="s">
        <v>44</v>
      </c>
      <c r="E8" s="19" t="s">
        <v>69</v>
      </c>
      <c r="F8" s="20" t="s">
        <v>70</v>
      </c>
      <c r="G8" s="21" t="s">
        <v>71</v>
      </c>
      <c r="H8" s="21" t="s">
        <v>72</v>
      </c>
      <c r="I8" s="22" t="s">
        <v>49</v>
      </c>
      <c r="J8" s="23" t="s">
        <v>62</v>
      </c>
      <c r="K8" s="24" t="s">
        <v>73</v>
      </c>
      <c r="L8" s="25" t="s">
        <v>52</v>
      </c>
      <c r="M8" s="26" t="s">
        <v>31</v>
      </c>
      <c r="N8" s="27" t="s">
        <v>31</v>
      </c>
    </row>
    <row r="9" ht="110" customHeight="1" spans="1:14" x14ac:dyDescent="0.25">
      <c r="A9" t="s">
        <v>31</v>
      </c>
      <c r="B9" s="28">
        <v>6</v>
      </c>
      <c r="C9" s="29" t="s">
        <v>43</v>
      </c>
      <c r="D9" s="18" t="s">
        <v>44</v>
      </c>
      <c r="E9" s="30" t="s">
        <v>74</v>
      </c>
      <c r="F9" s="31" t="s">
        <v>75</v>
      </c>
      <c r="G9" s="32" t="s">
        <v>76</v>
      </c>
      <c r="H9" s="32" t="s">
        <v>77</v>
      </c>
      <c r="I9" s="33" t="s">
        <v>49</v>
      </c>
      <c r="J9" s="34" t="s">
        <v>62</v>
      </c>
      <c r="K9" s="35" t="s">
        <v>78</v>
      </c>
      <c r="L9" s="25" t="s">
        <v>52</v>
      </c>
      <c r="M9" s="36" t="s">
        <v>31</v>
      </c>
      <c r="N9" s="37" t="s">
        <v>31</v>
      </c>
    </row>
    <row r="10" ht="110" customHeight="1" spans="1:14" x14ac:dyDescent="0.25">
      <c r="A10" t="s">
        <v>31</v>
      </c>
      <c r="B10" s="16">
        <v>7</v>
      </c>
      <c r="C10" s="17" t="s">
        <v>43</v>
      </c>
      <c r="D10" s="18" t="s">
        <v>44</v>
      </c>
      <c r="E10" s="19" t="s">
        <v>79</v>
      </c>
      <c r="F10" s="20" t="s">
        <v>80</v>
      </c>
      <c r="G10" s="21" t="s">
        <v>81</v>
      </c>
      <c r="H10" s="21" t="s">
        <v>82</v>
      </c>
      <c r="I10" s="22" t="s">
        <v>83</v>
      </c>
      <c r="J10" s="23" t="s">
        <v>62</v>
      </c>
      <c r="K10" s="24" t="s">
        <v>84</v>
      </c>
      <c r="L10" s="25" t="s">
        <v>52</v>
      </c>
      <c r="M10" s="26" t="s">
        <v>31</v>
      </c>
      <c r="N10" s="27" t="s">
        <v>31</v>
      </c>
    </row>
    <row r="11" ht="110" customHeight="1" spans="1:14" x14ac:dyDescent="0.25">
      <c r="A11" t="s">
        <v>31</v>
      </c>
      <c r="B11" s="38">
        <v>8</v>
      </c>
      <c r="C11" s="39" t="s">
        <v>85</v>
      </c>
      <c r="D11" s="40" t="s">
        <v>86</v>
      </c>
      <c r="E11" s="30" t="s">
        <v>87</v>
      </c>
      <c r="F11" s="31" t="s">
        <v>88</v>
      </c>
      <c r="G11" s="32" t="s">
        <v>89</v>
      </c>
      <c r="H11" s="32" t="s">
        <v>90</v>
      </c>
      <c r="I11" s="33" t="s">
        <v>49</v>
      </c>
      <c r="J11" s="41" t="s">
        <v>91</v>
      </c>
      <c r="K11" s="42" t="s">
        <v>92</v>
      </c>
      <c r="L11" s="25" t="s">
        <v>52</v>
      </c>
      <c r="M11" s="36" t="s">
        <v>31</v>
      </c>
      <c r="N11" s="37" t="s">
        <v>31</v>
      </c>
    </row>
    <row r="12" ht="110" customHeight="1" spans="1:14" x14ac:dyDescent="0.25">
      <c r="A12" t="s">
        <v>31</v>
      </c>
      <c r="B12" s="43">
        <v>9</v>
      </c>
      <c r="C12" s="44" t="s">
        <v>85</v>
      </c>
      <c r="D12" s="40" t="s">
        <v>86</v>
      </c>
      <c r="E12" s="45" t="s">
        <v>93</v>
      </c>
      <c r="F12" s="46" t="s">
        <v>94</v>
      </c>
      <c r="G12" s="47" t="s">
        <v>95</v>
      </c>
      <c r="H12" s="47" t="s">
        <v>96</v>
      </c>
      <c r="I12" s="48" t="s">
        <v>49</v>
      </c>
      <c r="J12" s="49" t="s">
        <v>91</v>
      </c>
      <c r="K12" s="50" t="s">
        <v>92</v>
      </c>
      <c r="L12" s="25" t="s">
        <v>52</v>
      </c>
      <c r="M12" s="51" t="s">
        <v>31</v>
      </c>
      <c r="N12" s="52" t="s">
        <v>31</v>
      </c>
    </row>
    <row r="13" ht="110" customHeight="1" spans="1:14" x14ac:dyDescent="0.25">
      <c r="A13" t="s">
        <v>31</v>
      </c>
      <c r="B13" s="38">
        <v>10</v>
      </c>
      <c r="C13" s="39" t="s">
        <v>85</v>
      </c>
      <c r="D13" s="40" t="s">
        <v>86</v>
      </c>
      <c r="E13" s="30" t="s">
        <v>97</v>
      </c>
      <c r="F13" s="31" t="s">
        <v>98</v>
      </c>
      <c r="G13" s="32" t="s">
        <v>99</v>
      </c>
      <c r="H13" s="32" t="s">
        <v>100</v>
      </c>
      <c r="I13" s="33" t="s">
        <v>49</v>
      </c>
      <c r="J13" s="41" t="s">
        <v>91</v>
      </c>
      <c r="K13" s="42" t="s">
        <v>101</v>
      </c>
      <c r="L13" s="25" t="s">
        <v>52</v>
      </c>
      <c r="M13" s="36" t="s">
        <v>31</v>
      </c>
      <c r="N13" s="37" t="s">
        <v>31</v>
      </c>
    </row>
    <row r="14" ht="110" customHeight="1" spans="1:14" x14ac:dyDescent="0.25">
      <c r="A14" t="s">
        <v>31</v>
      </c>
      <c r="B14" s="43">
        <v>11</v>
      </c>
      <c r="C14" s="44" t="s">
        <v>85</v>
      </c>
      <c r="D14" s="40" t="s">
        <v>86</v>
      </c>
      <c r="E14" s="45" t="s">
        <v>102</v>
      </c>
      <c r="F14" s="46" t="s">
        <v>103</v>
      </c>
      <c r="G14" s="47" t="s">
        <v>104</v>
      </c>
      <c r="H14" s="47" t="s">
        <v>105</v>
      </c>
      <c r="I14" s="48" t="s">
        <v>49</v>
      </c>
      <c r="J14" s="49" t="s">
        <v>91</v>
      </c>
      <c r="K14" s="50" t="s">
        <v>106</v>
      </c>
      <c r="L14" s="25" t="s">
        <v>52</v>
      </c>
      <c r="M14" s="51" t="s">
        <v>31</v>
      </c>
      <c r="N14" s="52" t="s">
        <v>31</v>
      </c>
    </row>
    <row r="15" ht="110" customHeight="1" spans="1:14" x14ac:dyDescent="0.25">
      <c r="A15" t="s">
        <v>31</v>
      </c>
      <c r="B15" s="38">
        <v>12</v>
      </c>
      <c r="C15" s="39" t="s">
        <v>85</v>
      </c>
      <c r="D15" s="40" t="s">
        <v>86</v>
      </c>
      <c r="E15" s="30" t="s">
        <v>107</v>
      </c>
      <c r="F15" s="31" t="s">
        <v>108</v>
      </c>
      <c r="G15" s="32" t="s">
        <v>109</v>
      </c>
      <c r="H15" s="32" t="s">
        <v>110</v>
      </c>
      <c r="I15" s="33" t="s">
        <v>49</v>
      </c>
      <c r="J15" s="41" t="s">
        <v>91</v>
      </c>
      <c r="K15" s="42" t="s">
        <v>111</v>
      </c>
      <c r="L15" s="25" t="s">
        <v>52</v>
      </c>
      <c r="M15" s="36" t="s">
        <v>31</v>
      </c>
      <c r="N15" s="37" t="s">
        <v>31</v>
      </c>
    </row>
    <row r="16" ht="110" customHeight="1" spans="1:14" x14ac:dyDescent="0.25">
      <c r="A16" t="s">
        <v>31</v>
      </c>
      <c r="B16" s="43">
        <v>13</v>
      </c>
      <c r="C16" s="44" t="s">
        <v>85</v>
      </c>
      <c r="D16" s="40" t="s">
        <v>86</v>
      </c>
      <c r="E16" s="45" t="s">
        <v>112</v>
      </c>
      <c r="F16" s="46" t="s">
        <v>113</v>
      </c>
      <c r="G16" s="47" t="s">
        <v>114</v>
      </c>
      <c r="H16" s="47" t="s">
        <v>115</v>
      </c>
      <c r="I16" s="48" t="s">
        <v>83</v>
      </c>
      <c r="J16" s="49" t="s">
        <v>91</v>
      </c>
      <c r="K16" s="50" t="s">
        <v>116</v>
      </c>
      <c r="L16" s="25" t="s">
        <v>52</v>
      </c>
      <c r="M16" s="51" t="s">
        <v>31</v>
      </c>
      <c r="N16" s="52" t="s">
        <v>31</v>
      </c>
    </row>
    <row r="17" ht="110" customHeight="1" spans="1:14" x14ac:dyDescent="0.25">
      <c r="A17" t="s">
        <v>31</v>
      </c>
      <c r="B17" s="38">
        <v>14</v>
      </c>
      <c r="C17" s="39" t="s">
        <v>85</v>
      </c>
      <c r="D17" s="40" t="s">
        <v>86</v>
      </c>
      <c r="E17" s="30" t="s">
        <v>117</v>
      </c>
      <c r="F17" s="31" t="s">
        <v>118</v>
      </c>
      <c r="G17" s="32" t="s">
        <v>119</v>
      </c>
      <c r="H17" s="32" t="s">
        <v>120</v>
      </c>
      <c r="I17" s="33" t="s">
        <v>83</v>
      </c>
      <c r="J17" s="41" t="s">
        <v>91</v>
      </c>
      <c r="K17" s="42" t="s">
        <v>84</v>
      </c>
      <c r="L17" s="25" t="s">
        <v>52</v>
      </c>
      <c r="M17" s="36" t="s">
        <v>31</v>
      </c>
      <c r="N17" s="37" t="s">
        <v>31</v>
      </c>
    </row>
    <row r="18" ht="110" customHeight="1" spans="1:14" x14ac:dyDescent="0.25">
      <c r="A18" t="s">
        <v>31</v>
      </c>
      <c r="B18" s="53">
        <v>15</v>
      </c>
      <c r="C18" s="54" t="s">
        <v>121</v>
      </c>
      <c r="D18" s="55" t="s">
        <v>122</v>
      </c>
      <c r="E18" s="56" t="s">
        <v>123</v>
      </c>
      <c r="F18" s="57" t="s">
        <v>124</v>
      </c>
      <c r="G18" s="58" t="s">
        <v>125</v>
      </c>
      <c r="H18" s="58" t="s">
        <v>126</v>
      </c>
      <c r="I18" s="59" t="s">
        <v>49</v>
      </c>
      <c r="J18" s="60" t="s">
        <v>127</v>
      </c>
      <c r="K18" s="61" t="s">
        <v>122</v>
      </c>
      <c r="L18" s="25" t="s">
        <v>52</v>
      </c>
      <c r="M18" s="62" t="s">
        <v>31</v>
      </c>
      <c r="N18" s="63" t="s">
        <v>31</v>
      </c>
    </row>
    <row r="19" ht="110" customHeight="1" spans="1:14" x14ac:dyDescent="0.25">
      <c r="A19" t="s">
        <v>31</v>
      </c>
      <c r="B19" s="64">
        <v>16</v>
      </c>
      <c r="C19" s="65" t="s">
        <v>121</v>
      </c>
      <c r="D19" s="55" t="s">
        <v>122</v>
      </c>
      <c r="E19" s="30" t="s">
        <v>128</v>
      </c>
      <c r="F19" s="31" t="s">
        <v>129</v>
      </c>
      <c r="G19" s="32" t="s">
        <v>130</v>
      </c>
      <c r="H19" s="32" t="s">
        <v>131</v>
      </c>
      <c r="I19" s="33" t="s">
        <v>49</v>
      </c>
      <c r="J19" s="66" t="s">
        <v>127</v>
      </c>
      <c r="K19" s="67" t="s">
        <v>132</v>
      </c>
      <c r="L19" s="25" t="s">
        <v>52</v>
      </c>
      <c r="M19" s="36" t="s">
        <v>31</v>
      </c>
      <c r="N19" s="37" t="s">
        <v>31</v>
      </c>
    </row>
    <row r="20" ht="110" customHeight="1" spans="1:14" x14ac:dyDescent="0.25">
      <c r="A20" t="s">
        <v>31</v>
      </c>
      <c r="B20" s="53">
        <v>17</v>
      </c>
      <c r="C20" s="54" t="s">
        <v>121</v>
      </c>
      <c r="D20" s="55" t="s">
        <v>122</v>
      </c>
      <c r="E20" s="56" t="s">
        <v>133</v>
      </c>
      <c r="F20" s="57" t="s">
        <v>134</v>
      </c>
      <c r="G20" s="58" t="s">
        <v>135</v>
      </c>
      <c r="H20" s="58" t="s">
        <v>136</v>
      </c>
      <c r="I20" s="59" t="s">
        <v>49</v>
      </c>
      <c r="J20" s="60" t="s">
        <v>127</v>
      </c>
      <c r="K20" s="61" t="s">
        <v>137</v>
      </c>
      <c r="L20" s="25" t="s">
        <v>52</v>
      </c>
      <c r="M20" s="62" t="s">
        <v>31</v>
      </c>
      <c r="N20" s="63" t="s">
        <v>31</v>
      </c>
    </row>
    <row r="21" ht="110" customHeight="1" spans="1:14" x14ac:dyDescent="0.25">
      <c r="A21" t="s">
        <v>31</v>
      </c>
      <c r="B21" s="64">
        <v>18</v>
      </c>
      <c r="C21" s="65" t="s">
        <v>121</v>
      </c>
      <c r="D21" s="55" t="s">
        <v>122</v>
      </c>
      <c r="E21" s="30" t="s">
        <v>138</v>
      </c>
      <c r="F21" s="31" t="s">
        <v>139</v>
      </c>
      <c r="G21" s="32" t="s">
        <v>140</v>
      </c>
      <c r="H21" s="32" t="s">
        <v>141</v>
      </c>
      <c r="I21" s="33" t="s">
        <v>49</v>
      </c>
      <c r="J21" s="66" t="s">
        <v>127</v>
      </c>
      <c r="K21" s="67" t="s">
        <v>142</v>
      </c>
      <c r="L21" s="25" t="s">
        <v>52</v>
      </c>
      <c r="M21" s="36" t="s">
        <v>31</v>
      </c>
      <c r="N21" s="37" t="s">
        <v>31</v>
      </c>
    </row>
    <row r="22" ht="110" customHeight="1" spans="1:14" x14ac:dyDescent="0.25">
      <c r="A22" t="s">
        <v>31</v>
      </c>
      <c r="B22" s="53">
        <v>19</v>
      </c>
      <c r="C22" s="54" t="s">
        <v>121</v>
      </c>
      <c r="D22" s="55" t="s">
        <v>122</v>
      </c>
      <c r="E22" s="56" t="s">
        <v>143</v>
      </c>
      <c r="F22" s="57" t="s">
        <v>144</v>
      </c>
      <c r="G22" s="58" t="s">
        <v>145</v>
      </c>
      <c r="H22" s="58" t="s">
        <v>146</v>
      </c>
      <c r="I22" s="59" t="s">
        <v>83</v>
      </c>
      <c r="J22" s="60" t="s">
        <v>127</v>
      </c>
      <c r="K22" s="61" t="s">
        <v>147</v>
      </c>
      <c r="L22" s="25" t="s">
        <v>52</v>
      </c>
      <c r="M22" s="62" t="s">
        <v>31</v>
      </c>
      <c r="N22" s="63" t="s">
        <v>31</v>
      </c>
    </row>
    <row r="23" ht="110" customHeight="1" spans="1:14" x14ac:dyDescent="0.25">
      <c r="A23" t="s">
        <v>31</v>
      </c>
      <c r="B23" s="64">
        <v>20</v>
      </c>
      <c r="C23" s="65" t="s">
        <v>121</v>
      </c>
      <c r="D23" s="55" t="s">
        <v>122</v>
      </c>
      <c r="E23" s="30" t="s">
        <v>148</v>
      </c>
      <c r="F23" s="31" t="s">
        <v>149</v>
      </c>
      <c r="G23" s="32" t="s">
        <v>150</v>
      </c>
      <c r="H23" s="32" t="s">
        <v>151</v>
      </c>
      <c r="I23" s="33" t="s">
        <v>83</v>
      </c>
      <c r="J23" s="66" t="s">
        <v>127</v>
      </c>
      <c r="K23" s="67" t="s">
        <v>152</v>
      </c>
      <c r="L23" s="25" t="s">
        <v>52</v>
      </c>
      <c r="M23" s="36" t="s">
        <v>31</v>
      </c>
      <c r="N23" s="37" t="s">
        <v>31</v>
      </c>
    </row>
    <row r="24" ht="110" customHeight="1" spans="1:14" x14ac:dyDescent="0.25">
      <c r="A24" t="s">
        <v>31</v>
      </c>
      <c r="B24" s="53">
        <v>21</v>
      </c>
      <c r="C24" s="54" t="s">
        <v>121</v>
      </c>
      <c r="D24" s="55" t="s">
        <v>122</v>
      </c>
      <c r="E24" s="56" t="s">
        <v>153</v>
      </c>
      <c r="F24" s="57" t="s">
        <v>154</v>
      </c>
      <c r="G24" s="58" t="s">
        <v>155</v>
      </c>
      <c r="H24" s="58" t="s">
        <v>156</v>
      </c>
      <c r="I24" s="59" t="s">
        <v>83</v>
      </c>
      <c r="J24" s="60" t="s">
        <v>127</v>
      </c>
      <c r="K24" s="61" t="s">
        <v>84</v>
      </c>
      <c r="L24" s="25" t="s">
        <v>52</v>
      </c>
      <c r="M24" s="62" t="s">
        <v>31</v>
      </c>
      <c r="N24" s="63" t="s">
        <v>31</v>
      </c>
    </row>
    <row r="25" ht="110" customHeight="1" spans="1:14" x14ac:dyDescent="0.25">
      <c r="A25" t="s">
        <v>31</v>
      </c>
      <c r="B25" s="68">
        <v>22</v>
      </c>
      <c r="C25" s="69" t="s">
        <v>157</v>
      </c>
      <c r="D25" s="70" t="s">
        <v>158</v>
      </c>
      <c r="E25" s="30" t="s">
        <v>159</v>
      </c>
      <c r="F25" s="31" t="s">
        <v>160</v>
      </c>
      <c r="G25" s="32" t="s">
        <v>161</v>
      </c>
      <c r="H25" s="32" t="s">
        <v>162</v>
      </c>
      <c r="I25" s="33" t="s">
        <v>49</v>
      </c>
      <c r="J25" s="71" t="s">
        <v>163</v>
      </c>
      <c r="K25" s="72" t="s">
        <v>164</v>
      </c>
      <c r="L25" s="25" t="s">
        <v>52</v>
      </c>
      <c r="M25" s="36" t="s">
        <v>31</v>
      </c>
      <c r="N25" s="37" t="s">
        <v>31</v>
      </c>
    </row>
    <row r="26" ht="110" customHeight="1" spans="1:14" x14ac:dyDescent="0.25">
      <c r="A26" t="s">
        <v>31</v>
      </c>
      <c r="B26" s="73">
        <v>23</v>
      </c>
      <c r="C26" s="74" t="s">
        <v>157</v>
      </c>
      <c r="D26" s="70" t="s">
        <v>158</v>
      </c>
      <c r="E26" s="75" t="s">
        <v>165</v>
      </c>
      <c r="F26" s="76" t="s">
        <v>166</v>
      </c>
      <c r="G26" s="77" t="s">
        <v>167</v>
      </c>
      <c r="H26" s="77" t="s">
        <v>168</v>
      </c>
      <c r="I26" s="78" t="s">
        <v>49</v>
      </c>
      <c r="J26" s="79" t="s">
        <v>163</v>
      </c>
      <c r="K26" s="80" t="s">
        <v>169</v>
      </c>
      <c r="L26" s="25" t="s">
        <v>52</v>
      </c>
      <c r="M26" s="81" t="s">
        <v>31</v>
      </c>
      <c r="N26" s="82" t="s">
        <v>31</v>
      </c>
    </row>
    <row r="27" ht="110" customHeight="1" spans="1:14" x14ac:dyDescent="0.25">
      <c r="A27" t="s">
        <v>31</v>
      </c>
      <c r="B27" s="68">
        <v>24</v>
      </c>
      <c r="C27" s="69" t="s">
        <v>157</v>
      </c>
      <c r="D27" s="70" t="s">
        <v>158</v>
      </c>
      <c r="E27" s="30" t="s">
        <v>170</v>
      </c>
      <c r="F27" s="31" t="s">
        <v>171</v>
      </c>
      <c r="G27" s="32" t="s">
        <v>172</v>
      </c>
      <c r="H27" s="32" t="s">
        <v>173</v>
      </c>
      <c r="I27" s="33" t="s">
        <v>49</v>
      </c>
      <c r="J27" s="71" t="s">
        <v>163</v>
      </c>
      <c r="K27" s="72" t="s">
        <v>174</v>
      </c>
      <c r="L27" s="25" t="s">
        <v>52</v>
      </c>
      <c r="M27" s="36" t="s">
        <v>31</v>
      </c>
      <c r="N27" s="37" t="s">
        <v>31</v>
      </c>
    </row>
    <row r="28" ht="110" customHeight="1" spans="1:14" x14ac:dyDescent="0.25">
      <c r="A28" t="s">
        <v>31</v>
      </c>
      <c r="B28" s="73">
        <v>25</v>
      </c>
      <c r="C28" s="74" t="s">
        <v>157</v>
      </c>
      <c r="D28" s="70" t="s">
        <v>158</v>
      </c>
      <c r="E28" s="75" t="s">
        <v>175</v>
      </c>
      <c r="F28" s="76" t="s">
        <v>176</v>
      </c>
      <c r="G28" s="77" t="s">
        <v>177</v>
      </c>
      <c r="H28" s="77" t="s">
        <v>178</v>
      </c>
      <c r="I28" s="78" t="s">
        <v>49</v>
      </c>
      <c r="J28" s="79" t="s">
        <v>163</v>
      </c>
      <c r="K28" s="80" t="s">
        <v>179</v>
      </c>
      <c r="L28" s="25" t="s">
        <v>52</v>
      </c>
      <c r="M28" s="81" t="s">
        <v>31</v>
      </c>
      <c r="N28" s="82" t="s">
        <v>31</v>
      </c>
    </row>
    <row r="29" ht="110" customHeight="1" spans="1:14" x14ac:dyDescent="0.25">
      <c r="A29" t="s">
        <v>31</v>
      </c>
      <c r="B29" s="68">
        <v>26</v>
      </c>
      <c r="C29" s="69" t="s">
        <v>157</v>
      </c>
      <c r="D29" s="70" t="s">
        <v>158</v>
      </c>
      <c r="E29" s="30" t="s">
        <v>180</v>
      </c>
      <c r="F29" s="31" t="s">
        <v>181</v>
      </c>
      <c r="G29" s="32" t="s">
        <v>182</v>
      </c>
      <c r="H29" s="32" t="s">
        <v>183</v>
      </c>
      <c r="I29" s="33" t="s">
        <v>49</v>
      </c>
      <c r="J29" s="71" t="s">
        <v>127</v>
      </c>
      <c r="K29" s="72" t="s">
        <v>184</v>
      </c>
      <c r="L29" s="25" t="s">
        <v>52</v>
      </c>
      <c r="M29" s="36" t="s">
        <v>31</v>
      </c>
      <c r="N29" s="37" t="s">
        <v>31</v>
      </c>
    </row>
    <row r="30" ht="110" customHeight="1" spans="1:14" x14ac:dyDescent="0.25">
      <c r="A30" t="s">
        <v>31</v>
      </c>
      <c r="B30" s="73">
        <v>27</v>
      </c>
      <c r="C30" s="74" t="s">
        <v>157</v>
      </c>
      <c r="D30" s="70" t="s">
        <v>158</v>
      </c>
      <c r="E30" s="75" t="s">
        <v>185</v>
      </c>
      <c r="F30" s="76" t="s">
        <v>186</v>
      </c>
      <c r="G30" s="77" t="s">
        <v>187</v>
      </c>
      <c r="H30" s="77" t="s">
        <v>188</v>
      </c>
      <c r="I30" s="78" t="s">
        <v>49</v>
      </c>
      <c r="J30" s="79" t="s">
        <v>163</v>
      </c>
      <c r="K30" s="80" t="s">
        <v>189</v>
      </c>
      <c r="L30" s="25" t="s">
        <v>52</v>
      </c>
      <c r="M30" s="81" t="s">
        <v>31</v>
      </c>
      <c r="N30" s="82" t="s">
        <v>31</v>
      </c>
    </row>
    <row r="31" ht="110" customHeight="1" spans="1:14" x14ac:dyDescent="0.25">
      <c r="A31" t="s">
        <v>31</v>
      </c>
      <c r="B31" s="68">
        <v>28</v>
      </c>
      <c r="C31" s="69" t="s">
        <v>157</v>
      </c>
      <c r="D31" s="70" t="s">
        <v>158</v>
      </c>
      <c r="E31" s="30" t="s">
        <v>190</v>
      </c>
      <c r="F31" s="31" t="s">
        <v>191</v>
      </c>
      <c r="G31" s="32" t="s">
        <v>192</v>
      </c>
      <c r="H31" s="32" t="s">
        <v>193</v>
      </c>
      <c r="I31" s="33" t="s">
        <v>49</v>
      </c>
      <c r="J31" s="71" t="s">
        <v>127</v>
      </c>
      <c r="K31" s="72" t="s">
        <v>194</v>
      </c>
      <c r="L31" s="25" t="s">
        <v>52</v>
      </c>
      <c r="M31" s="36" t="s">
        <v>31</v>
      </c>
      <c r="N31" s="37" t="s">
        <v>31</v>
      </c>
    </row>
    <row r="32" ht="110" customHeight="1" spans="1:14" x14ac:dyDescent="0.25">
      <c r="A32" t="s">
        <v>31</v>
      </c>
      <c r="B32" s="73">
        <v>29</v>
      </c>
      <c r="C32" s="74" t="s">
        <v>157</v>
      </c>
      <c r="D32" s="70" t="s">
        <v>158</v>
      </c>
      <c r="E32" s="75" t="s">
        <v>195</v>
      </c>
      <c r="F32" s="76" t="s">
        <v>196</v>
      </c>
      <c r="G32" s="77" t="s">
        <v>197</v>
      </c>
      <c r="H32" s="77" t="s">
        <v>198</v>
      </c>
      <c r="I32" s="78" t="s">
        <v>199</v>
      </c>
      <c r="J32" s="79" t="s">
        <v>163</v>
      </c>
      <c r="K32" s="80" t="s">
        <v>200</v>
      </c>
      <c r="L32" s="25" t="s">
        <v>52</v>
      </c>
      <c r="M32" s="81" t="s">
        <v>31</v>
      </c>
      <c r="N32" s="82" t="s">
        <v>31</v>
      </c>
    </row>
    <row r="33" ht="110" customHeight="1" spans="1:14" x14ac:dyDescent="0.25">
      <c r="A33" t="s">
        <v>31</v>
      </c>
      <c r="B33" s="68">
        <v>30</v>
      </c>
      <c r="C33" s="69" t="s">
        <v>157</v>
      </c>
      <c r="D33" s="70" t="s">
        <v>158</v>
      </c>
      <c r="E33" s="30" t="s">
        <v>201</v>
      </c>
      <c r="F33" s="31" t="s">
        <v>202</v>
      </c>
      <c r="G33" s="32" t="s">
        <v>203</v>
      </c>
      <c r="H33" s="32" t="s">
        <v>204</v>
      </c>
      <c r="I33" s="33" t="s">
        <v>199</v>
      </c>
      <c r="J33" s="71" t="s">
        <v>163</v>
      </c>
      <c r="K33" s="72" t="s">
        <v>200</v>
      </c>
      <c r="L33" s="25" t="s">
        <v>52</v>
      </c>
      <c r="M33" s="36" t="s">
        <v>31</v>
      </c>
      <c r="N33" s="37" t="s">
        <v>31</v>
      </c>
    </row>
  </sheetData>
  <autoFilter ref="B3:N33"/>
  <mergeCells count="2">
    <mergeCell ref="B1:N1"/>
    <mergeCell ref="B2:N2"/>
  </mergeCells>
  <conditionalFormatting sqref="L4:L33">
    <cfRule type="containsText" dxfId="0" priority="1">
      <formula>NOT(ISERROR(SEARCH("Completed",L4)))</formula>
    </cfRule>
    <cfRule type="containsText" dxfId="1" priority="2">
      <formula>NOT(ISERROR(SEARCH("In Progress",L4)))</formula>
    </cfRule>
    <cfRule type="containsText" dxfId="2" priority="3">
      <formula>NOT(ISERROR(SEARCH("Not Started",L4)))</formula>
    </cfRule>
  </conditionalFormatting>
  <dataValidations count="2">
    <dataValidation type="list" allowBlank="1" showErrorMessage="1" errorTitle="Invalid Status" error="Please select from the dropdown list" sqref="L10:L33">
      <formula1>"⬜ Not Started,🔄 In Progress,✅ Completed"</formula1>
    </dataValidation>
    <dataValidation type="list" allowBlank="1" showErrorMessage="1" errorTitle="Invalid Status" error="Please select from the dropdown list" sqref="L4:L33">
      <formula1>"⬜ Not Started,🔄 In Progress,✅ Completed"</formula1>
    </dataValidation>
  </dataValidations>
  <pageMargins left="0.3" right="0.3" top="0.5" bottom="0.5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4A853"/>
    <pageSetUpPr fitToPage="1"/>
  </sheetPr>
  <dimension ref="A1:J40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8" customWidth="1"/>
    <col min="3" max="3" width="30" customWidth="1"/>
    <col min="4" max="4" width="15" customWidth="1"/>
    <col min="5" max="7" width="12" customWidth="1"/>
    <col min="8" max="9" width="35" customWidth="1"/>
    <col min="10" max="10" width="10" customWidth="1"/>
    <col min="11" max="11" width="3" customWidth="1"/>
  </cols>
  <sheetData>
    <row r="1" ht="40" customHeight="1" spans="2:10" x14ac:dyDescent="0.25">
      <c r="B1" s="83" t="s">
        <v>205</v>
      </c>
      <c r="C1" s="83"/>
      <c r="D1" s="83"/>
      <c r="E1" s="83"/>
      <c r="F1" s="83"/>
      <c r="G1" s="83"/>
      <c r="H1" s="83"/>
      <c r="I1" s="83"/>
      <c r="J1" s="83"/>
    </row>
    <row r="2" ht="22" customHeight="1" spans="2:10" x14ac:dyDescent="0.25">
      <c r="B2" s="14" t="s">
        <v>206</v>
      </c>
      <c r="C2" s="14"/>
      <c r="D2" s="14"/>
      <c r="E2" s="14"/>
      <c r="F2" s="14"/>
      <c r="G2" s="14"/>
      <c r="H2" s="14"/>
      <c r="I2" s="14"/>
      <c r="J2" s="14"/>
    </row>
    <row r="3" ht="30" customHeight="1" spans="1:10" x14ac:dyDescent="0.25">
      <c r="A3" s="84" t="s">
        <v>31</v>
      </c>
      <c r="B3" s="84" t="s">
        <v>32</v>
      </c>
      <c r="C3" s="84" t="s">
        <v>35</v>
      </c>
      <c r="D3" s="84" t="s">
        <v>207</v>
      </c>
      <c r="E3" s="84" t="s">
        <v>208</v>
      </c>
      <c r="F3" s="84" t="s">
        <v>209</v>
      </c>
      <c r="G3" s="84" t="s">
        <v>210</v>
      </c>
      <c r="H3" s="84" t="s">
        <v>211</v>
      </c>
      <c r="I3" s="84" t="s">
        <v>212</v>
      </c>
      <c r="J3" s="84" t="s">
        <v>213</v>
      </c>
    </row>
    <row r="4" ht="35" customHeight="1" spans="1:10" x14ac:dyDescent="0.25">
      <c r="A4" t="s">
        <v>31</v>
      </c>
      <c r="B4" s="85">
        <v>1</v>
      </c>
      <c r="C4" s="86" t="s">
        <v>45</v>
      </c>
      <c r="D4" s="87" t="s">
        <v>52</v>
      </c>
      <c r="E4" s="88" t="s">
        <v>31</v>
      </c>
      <c r="F4" s="88" t="s">
        <v>31</v>
      </c>
      <c r="G4" s="89" t="s">
        <v>31</v>
      </c>
      <c r="H4" s="90" t="s">
        <v>31</v>
      </c>
      <c r="I4" s="90" t="s">
        <v>31</v>
      </c>
      <c r="J4" s="89" t="s">
        <v>31</v>
      </c>
    </row>
    <row r="5" ht="35" customHeight="1" spans="1:10" x14ac:dyDescent="0.25">
      <c r="A5" t="s">
        <v>31</v>
      </c>
      <c r="B5" s="91">
        <v>2</v>
      </c>
      <c r="C5" s="92" t="s">
        <v>53</v>
      </c>
      <c r="D5" s="87" t="s">
        <v>52</v>
      </c>
      <c r="E5" s="93" t="s">
        <v>31</v>
      </c>
      <c r="F5" s="93" t="s">
        <v>31</v>
      </c>
      <c r="G5" s="94" t="s">
        <v>31</v>
      </c>
      <c r="H5" s="95" t="s">
        <v>31</v>
      </c>
      <c r="I5" s="95" t="s">
        <v>31</v>
      </c>
      <c r="J5" s="94" t="s">
        <v>31</v>
      </c>
    </row>
    <row r="6" ht="35" customHeight="1" spans="1:10" x14ac:dyDescent="0.25">
      <c r="A6" t="s">
        <v>31</v>
      </c>
      <c r="B6" s="85">
        <v>3</v>
      </c>
      <c r="C6" s="86" t="s">
        <v>58</v>
      </c>
      <c r="D6" s="87" t="s">
        <v>52</v>
      </c>
      <c r="E6" s="88" t="s">
        <v>31</v>
      </c>
      <c r="F6" s="88" t="s">
        <v>31</v>
      </c>
      <c r="G6" s="89" t="s">
        <v>31</v>
      </c>
      <c r="H6" s="90" t="s">
        <v>31</v>
      </c>
      <c r="I6" s="90" t="s">
        <v>31</v>
      </c>
      <c r="J6" s="89" t="s">
        <v>31</v>
      </c>
    </row>
    <row r="7" ht="35" customHeight="1" spans="1:10" x14ac:dyDescent="0.25">
      <c r="A7" t="s">
        <v>31</v>
      </c>
      <c r="B7" s="91">
        <v>4</v>
      </c>
      <c r="C7" s="92" t="s">
        <v>64</v>
      </c>
      <c r="D7" s="87" t="s">
        <v>52</v>
      </c>
      <c r="E7" s="93" t="s">
        <v>31</v>
      </c>
      <c r="F7" s="93" t="s">
        <v>31</v>
      </c>
      <c r="G7" s="94" t="s">
        <v>31</v>
      </c>
      <c r="H7" s="95" t="s">
        <v>31</v>
      </c>
      <c r="I7" s="95" t="s">
        <v>31</v>
      </c>
      <c r="J7" s="94" t="s">
        <v>31</v>
      </c>
    </row>
    <row r="8" ht="35" customHeight="1" spans="1:10" x14ac:dyDescent="0.25">
      <c r="A8" t="s">
        <v>31</v>
      </c>
      <c r="B8" s="85">
        <v>5</v>
      </c>
      <c r="C8" s="86" t="s">
        <v>69</v>
      </c>
      <c r="D8" s="87" t="s">
        <v>52</v>
      </c>
      <c r="E8" s="88" t="s">
        <v>31</v>
      </c>
      <c r="F8" s="88" t="s">
        <v>31</v>
      </c>
      <c r="G8" s="89" t="s">
        <v>31</v>
      </c>
      <c r="H8" s="90" t="s">
        <v>31</v>
      </c>
      <c r="I8" s="90" t="s">
        <v>31</v>
      </c>
      <c r="J8" s="89" t="s">
        <v>31</v>
      </c>
    </row>
    <row r="9" ht="35" customHeight="1" spans="1:10" x14ac:dyDescent="0.25">
      <c r="A9" t="s">
        <v>31</v>
      </c>
      <c r="B9" s="91">
        <v>6</v>
      </c>
      <c r="C9" s="92" t="s">
        <v>74</v>
      </c>
      <c r="D9" s="87" t="s">
        <v>52</v>
      </c>
      <c r="E9" s="93" t="s">
        <v>31</v>
      </c>
      <c r="F9" s="93" t="s">
        <v>31</v>
      </c>
      <c r="G9" s="94" t="s">
        <v>31</v>
      </c>
      <c r="H9" s="95" t="s">
        <v>31</v>
      </c>
      <c r="I9" s="95" t="s">
        <v>31</v>
      </c>
      <c r="J9" s="94" t="s">
        <v>31</v>
      </c>
    </row>
    <row r="10" ht="35" customHeight="1" spans="1:10" x14ac:dyDescent="0.25">
      <c r="A10" t="s">
        <v>31</v>
      </c>
      <c r="B10" s="85">
        <v>7</v>
      </c>
      <c r="C10" s="86" t="s">
        <v>79</v>
      </c>
      <c r="D10" s="87" t="s">
        <v>52</v>
      </c>
      <c r="E10" s="88" t="s">
        <v>31</v>
      </c>
      <c r="F10" s="88" t="s">
        <v>31</v>
      </c>
      <c r="G10" s="89" t="s">
        <v>31</v>
      </c>
      <c r="H10" s="90" t="s">
        <v>31</v>
      </c>
      <c r="I10" s="90" t="s">
        <v>31</v>
      </c>
      <c r="J10" s="89" t="s">
        <v>31</v>
      </c>
    </row>
    <row r="11" ht="35" customHeight="1" spans="1:10" x14ac:dyDescent="0.25">
      <c r="A11" t="s">
        <v>31</v>
      </c>
      <c r="B11" s="96">
        <v>8</v>
      </c>
      <c r="C11" s="92" t="s">
        <v>87</v>
      </c>
      <c r="D11" s="87" t="s">
        <v>52</v>
      </c>
      <c r="E11" s="93" t="s">
        <v>31</v>
      </c>
      <c r="F11" s="93" t="s">
        <v>31</v>
      </c>
      <c r="G11" s="94" t="s">
        <v>31</v>
      </c>
      <c r="H11" s="95" t="s">
        <v>31</v>
      </c>
      <c r="I11" s="95" t="s">
        <v>31</v>
      </c>
      <c r="J11" s="94" t="s">
        <v>31</v>
      </c>
    </row>
    <row r="12" ht="35" customHeight="1" spans="1:10" x14ac:dyDescent="0.25">
      <c r="A12" t="s">
        <v>31</v>
      </c>
      <c r="B12" s="97">
        <v>9</v>
      </c>
      <c r="C12" s="86" t="s">
        <v>93</v>
      </c>
      <c r="D12" s="87" t="s">
        <v>52</v>
      </c>
      <c r="E12" s="88" t="s">
        <v>31</v>
      </c>
      <c r="F12" s="88" t="s">
        <v>31</v>
      </c>
      <c r="G12" s="89" t="s">
        <v>31</v>
      </c>
      <c r="H12" s="90" t="s">
        <v>31</v>
      </c>
      <c r="I12" s="90" t="s">
        <v>31</v>
      </c>
      <c r="J12" s="89" t="s">
        <v>31</v>
      </c>
    </row>
    <row r="13" ht="35" customHeight="1" spans="1:10" x14ac:dyDescent="0.25">
      <c r="A13" t="s">
        <v>31</v>
      </c>
      <c r="B13" s="96">
        <v>10</v>
      </c>
      <c r="C13" s="92" t="s">
        <v>97</v>
      </c>
      <c r="D13" s="87" t="s">
        <v>52</v>
      </c>
      <c r="E13" s="93" t="s">
        <v>31</v>
      </c>
      <c r="F13" s="93" t="s">
        <v>31</v>
      </c>
      <c r="G13" s="94" t="s">
        <v>31</v>
      </c>
      <c r="H13" s="95" t="s">
        <v>31</v>
      </c>
      <c r="I13" s="95" t="s">
        <v>31</v>
      </c>
      <c r="J13" s="94" t="s">
        <v>31</v>
      </c>
    </row>
    <row r="14" ht="35" customHeight="1" spans="1:10" x14ac:dyDescent="0.25">
      <c r="A14" t="s">
        <v>31</v>
      </c>
      <c r="B14" s="97">
        <v>11</v>
      </c>
      <c r="C14" s="86" t="s">
        <v>102</v>
      </c>
      <c r="D14" s="87" t="s">
        <v>52</v>
      </c>
      <c r="E14" s="88" t="s">
        <v>31</v>
      </c>
      <c r="F14" s="88" t="s">
        <v>31</v>
      </c>
      <c r="G14" s="89" t="s">
        <v>31</v>
      </c>
      <c r="H14" s="90" t="s">
        <v>31</v>
      </c>
      <c r="I14" s="90" t="s">
        <v>31</v>
      </c>
      <c r="J14" s="89" t="s">
        <v>31</v>
      </c>
    </row>
    <row r="15" ht="35" customHeight="1" spans="1:10" x14ac:dyDescent="0.25">
      <c r="A15" t="s">
        <v>31</v>
      </c>
      <c r="B15" s="96">
        <v>12</v>
      </c>
      <c r="C15" s="92" t="s">
        <v>107</v>
      </c>
      <c r="D15" s="87" t="s">
        <v>52</v>
      </c>
      <c r="E15" s="93" t="s">
        <v>31</v>
      </c>
      <c r="F15" s="93" t="s">
        <v>31</v>
      </c>
      <c r="G15" s="94" t="s">
        <v>31</v>
      </c>
      <c r="H15" s="95" t="s">
        <v>31</v>
      </c>
      <c r="I15" s="95" t="s">
        <v>31</v>
      </c>
      <c r="J15" s="94" t="s">
        <v>31</v>
      </c>
    </row>
    <row r="16" ht="35" customHeight="1" spans="1:10" x14ac:dyDescent="0.25">
      <c r="A16" t="s">
        <v>31</v>
      </c>
      <c r="B16" s="97">
        <v>13</v>
      </c>
      <c r="C16" s="86" t="s">
        <v>112</v>
      </c>
      <c r="D16" s="87" t="s">
        <v>52</v>
      </c>
      <c r="E16" s="88" t="s">
        <v>31</v>
      </c>
      <c r="F16" s="88" t="s">
        <v>31</v>
      </c>
      <c r="G16" s="89" t="s">
        <v>31</v>
      </c>
      <c r="H16" s="90" t="s">
        <v>31</v>
      </c>
      <c r="I16" s="90" t="s">
        <v>31</v>
      </c>
      <c r="J16" s="89" t="s">
        <v>31</v>
      </c>
    </row>
    <row r="17" ht="35" customHeight="1" spans="1:10" x14ac:dyDescent="0.25">
      <c r="A17" t="s">
        <v>31</v>
      </c>
      <c r="B17" s="96">
        <v>14</v>
      </c>
      <c r="C17" s="92" t="s">
        <v>117</v>
      </c>
      <c r="D17" s="87" t="s">
        <v>52</v>
      </c>
      <c r="E17" s="93" t="s">
        <v>31</v>
      </c>
      <c r="F17" s="93" t="s">
        <v>31</v>
      </c>
      <c r="G17" s="94" t="s">
        <v>31</v>
      </c>
      <c r="H17" s="95" t="s">
        <v>31</v>
      </c>
      <c r="I17" s="95" t="s">
        <v>31</v>
      </c>
      <c r="J17" s="94" t="s">
        <v>31</v>
      </c>
    </row>
    <row r="18" ht="35" customHeight="1" spans="1:10" x14ac:dyDescent="0.25">
      <c r="A18" t="s">
        <v>31</v>
      </c>
      <c r="B18" s="98">
        <v>15</v>
      </c>
      <c r="C18" s="86" t="s">
        <v>123</v>
      </c>
      <c r="D18" s="87" t="s">
        <v>52</v>
      </c>
      <c r="E18" s="88" t="s">
        <v>31</v>
      </c>
      <c r="F18" s="88" t="s">
        <v>31</v>
      </c>
      <c r="G18" s="89" t="s">
        <v>31</v>
      </c>
      <c r="H18" s="90" t="s">
        <v>31</v>
      </c>
      <c r="I18" s="90" t="s">
        <v>31</v>
      </c>
      <c r="J18" s="89" t="s">
        <v>31</v>
      </c>
    </row>
    <row r="19" ht="35" customHeight="1" spans="1:10" x14ac:dyDescent="0.25">
      <c r="A19" t="s">
        <v>31</v>
      </c>
      <c r="B19" s="99">
        <v>16</v>
      </c>
      <c r="C19" s="92" t="s">
        <v>128</v>
      </c>
      <c r="D19" s="87" t="s">
        <v>52</v>
      </c>
      <c r="E19" s="93" t="s">
        <v>31</v>
      </c>
      <c r="F19" s="93" t="s">
        <v>31</v>
      </c>
      <c r="G19" s="94" t="s">
        <v>31</v>
      </c>
      <c r="H19" s="95" t="s">
        <v>31</v>
      </c>
      <c r="I19" s="95" t="s">
        <v>31</v>
      </c>
      <c r="J19" s="94" t="s">
        <v>31</v>
      </c>
    </row>
    <row r="20" ht="35" customHeight="1" spans="1:10" x14ac:dyDescent="0.25">
      <c r="A20" t="s">
        <v>31</v>
      </c>
      <c r="B20" s="98">
        <v>17</v>
      </c>
      <c r="C20" s="86" t="s">
        <v>133</v>
      </c>
      <c r="D20" s="87" t="s">
        <v>52</v>
      </c>
      <c r="E20" s="88" t="s">
        <v>31</v>
      </c>
      <c r="F20" s="88" t="s">
        <v>31</v>
      </c>
      <c r="G20" s="89" t="s">
        <v>31</v>
      </c>
      <c r="H20" s="90" t="s">
        <v>31</v>
      </c>
      <c r="I20" s="90" t="s">
        <v>31</v>
      </c>
      <c r="J20" s="89" t="s">
        <v>31</v>
      </c>
    </row>
    <row r="21" ht="35" customHeight="1" spans="1:10" x14ac:dyDescent="0.25">
      <c r="A21" t="s">
        <v>31</v>
      </c>
      <c r="B21" s="99">
        <v>18</v>
      </c>
      <c r="C21" s="92" t="s">
        <v>138</v>
      </c>
      <c r="D21" s="87" t="s">
        <v>52</v>
      </c>
      <c r="E21" s="93" t="s">
        <v>31</v>
      </c>
      <c r="F21" s="93" t="s">
        <v>31</v>
      </c>
      <c r="G21" s="94" t="s">
        <v>31</v>
      </c>
      <c r="H21" s="95" t="s">
        <v>31</v>
      </c>
      <c r="I21" s="95" t="s">
        <v>31</v>
      </c>
      <c r="J21" s="94" t="s">
        <v>31</v>
      </c>
    </row>
    <row r="22" ht="35" customHeight="1" spans="1:10" x14ac:dyDescent="0.25">
      <c r="A22" t="s">
        <v>31</v>
      </c>
      <c r="B22" s="98">
        <v>19</v>
      </c>
      <c r="C22" s="86" t="s">
        <v>143</v>
      </c>
      <c r="D22" s="87" t="s">
        <v>52</v>
      </c>
      <c r="E22" s="88" t="s">
        <v>31</v>
      </c>
      <c r="F22" s="88" t="s">
        <v>31</v>
      </c>
      <c r="G22" s="89" t="s">
        <v>31</v>
      </c>
      <c r="H22" s="90" t="s">
        <v>31</v>
      </c>
      <c r="I22" s="90" t="s">
        <v>31</v>
      </c>
      <c r="J22" s="89" t="s">
        <v>31</v>
      </c>
    </row>
    <row r="23" ht="35" customHeight="1" spans="1:10" x14ac:dyDescent="0.25">
      <c r="A23" t="s">
        <v>31</v>
      </c>
      <c r="B23" s="99">
        <v>20</v>
      </c>
      <c r="C23" s="92" t="s">
        <v>148</v>
      </c>
      <c r="D23" s="87" t="s">
        <v>52</v>
      </c>
      <c r="E23" s="93" t="s">
        <v>31</v>
      </c>
      <c r="F23" s="93" t="s">
        <v>31</v>
      </c>
      <c r="G23" s="94" t="s">
        <v>31</v>
      </c>
      <c r="H23" s="95" t="s">
        <v>31</v>
      </c>
      <c r="I23" s="95" t="s">
        <v>31</v>
      </c>
      <c r="J23" s="94" t="s">
        <v>31</v>
      </c>
    </row>
    <row r="24" ht="35" customHeight="1" spans="1:10" x14ac:dyDescent="0.25">
      <c r="A24" t="s">
        <v>31</v>
      </c>
      <c r="B24" s="98">
        <v>21</v>
      </c>
      <c r="C24" s="86" t="s">
        <v>153</v>
      </c>
      <c r="D24" s="87" t="s">
        <v>52</v>
      </c>
      <c r="E24" s="88" t="s">
        <v>31</v>
      </c>
      <c r="F24" s="88" t="s">
        <v>31</v>
      </c>
      <c r="G24" s="89" t="s">
        <v>31</v>
      </c>
      <c r="H24" s="90" t="s">
        <v>31</v>
      </c>
      <c r="I24" s="90" t="s">
        <v>31</v>
      </c>
      <c r="J24" s="89" t="s">
        <v>31</v>
      </c>
    </row>
    <row r="25" ht="35" customHeight="1" spans="1:10" x14ac:dyDescent="0.25">
      <c r="A25" t="s">
        <v>31</v>
      </c>
      <c r="B25" s="100">
        <v>22</v>
      </c>
      <c r="C25" s="92" t="s">
        <v>159</v>
      </c>
      <c r="D25" s="87" t="s">
        <v>52</v>
      </c>
      <c r="E25" s="93" t="s">
        <v>31</v>
      </c>
      <c r="F25" s="93" t="s">
        <v>31</v>
      </c>
      <c r="G25" s="94" t="s">
        <v>31</v>
      </c>
      <c r="H25" s="95" t="s">
        <v>31</v>
      </c>
      <c r="I25" s="95" t="s">
        <v>31</v>
      </c>
      <c r="J25" s="94" t="s">
        <v>31</v>
      </c>
    </row>
    <row r="26" ht="35" customHeight="1" spans="1:10" x14ac:dyDescent="0.25">
      <c r="A26" t="s">
        <v>31</v>
      </c>
      <c r="B26" s="101">
        <v>23</v>
      </c>
      <c r="C26" s="86" t="s">
        <v>165</v>
      </c>
      <c r="D26" s="87" t="s">
        <v>52</v>
      </c>
      <c r="E26" s="88" t="s">
        <v>31</v>
      </c>
      <c r="F26" s="88" t="s">
        <v>31</v>
      </c>
      <c r="G26" s="89" t="s">
        <v>31</v>
      </c>
      <c r="H26" s="90" t="s">
        <v>31</v>
      </c>
      <c r="I26" s="90" t="s">
        <v>31</v>
      </c>
      <c r="J26" s="89" t="s">
        <v>31</v>
      </c>
    </row>
    <row r="27" ht="35" customHeight="1" spans="1:10" x14ac:dyDescent="0.25">
      <c r="A27" t="s">
        <v>31</v>
      </c>
      <c r="B27" s="100">
        <v>24</v>
      </c>
      <c r="C27" s="92" t="s">
        <v>170</v>
      </c>
      <c r="D27" s="87" t="s">
        <v>52</v>
      </c>
      <c r="E27" s="93" t="s">
        <v>31</v>
      </c>
      <c r="F27" s="93" t="s">
        <v>31</v>
      </c>
      <c r="G27" s="94" t="s">
        <v>31</v>
      </c>
      <c r="H27" s="95" t="s">
        <v>31</v>
      </c>
      <c r="I27" s="95" t="s">
        <v>31</v>
      </c>
      <c r="J27" s="94" t="s">
        <v>31</v>
      </c>
    </row>
    <row r="28" ht="35" customHeight="1" spans="1:10" x14ac:dyDescent="0.25">
      <c r="A28" t="s">
        <v>31</v>
      </c>
      <c r="B28" s="101">
        <v>25</v>
      </c>
      <c r="C28" s="86" t="s">
        <v>175</v>
      </c>
      <c r="D28" s="87" t="s">
        <v>52</v>
      </c>
      <c r="E28" s="88" t="s">
        <v>31</v>
      </c>
      <c r="F28" s="88" t="s">
        <v>31</v>
      </c>
      <c r="G28" s="89" t="s">
        <v>31</v>
      </c>
      <c r="H28" s="90" t="s">
        <v>31</v>
      </c>
      <c r="I28" s="90" t="s">
        <v>31</v>
      </c>
      <c r="J28" s="89" t="s">
        <v>31</v>
      </c>
    </row>
    <row r="29" ht="35" customHeight="1" spans="1:10" x14ac:dyDescent="0.25">
      <c r="A29" t="s">
        <v>31</v>
      </c>
      <c r="B29" s="100">
        <v>26</v>
      </c>
      <c r="C29" s="92" t="s">
        <v>180</v>
      </c>
      <c r="D29" s="87" t="s">
        <v>52</v>
      </c>
      <c r="E29" s="93" t="s">
        <v>31</v>
      </c>
      <c r="F29" s="93" t="s">
        <v>31</v>
      </c>
      <c r="G29" s="94" t="s">
        <v>31</v>
      </c>
      <c r="H29" s="95" t="s">
        <v>31</v>
      </c>
      <c r="I29" s="95" t="s">
        <v>31</v>
      </c>
      <c r="J29" s="94" t="s">
        <v>31</v>
      </c>
    </row>
    <row r="30" ht="35" customHeight="1" spans="1:10" x14ac:dyDescent="0.25">
      <c r="A30" t="s">
        <v>31</v>
      </c>
      <c r="B30" s="101">
        <v>27</v>
      </c>
      <c r="C30" s="86" t="s">
        <v>185</v>
      </c>
      <c r="D30" s="87" t="s">
        <v>52</v>
      </c>
      <c r="E30" s="88" t="s">
        <v>31</v>
      </c>
      <c r="F30" s="88" t="s">
        <v>31</v>
      </c>
      <c r="G30" s="89" t="s">
        <v>31</v>
      </c>
      <c r="H30" s="90" t="s">
        <v>31</v>
      </c>
      <c r="I30" s="90" t="s">
        <v>31</v>
      </c>
      <c r="J30" s="89" t="s">
        <v>31</v>
      </c>
    </row>
    <row r="31" ht="35" customHeight="1" spans="1:10" x14ac:dyDescent="0.25">
      <c r="A31" t="s">
        <v>31</v>
      </c>
      <c r="B31" s="100">
        <v>28</v>
      </c>
      <c r="C31" s="92" t="s">
        <v>190</v>
      </c>
      <c r="D31" s="87" t="s">
        <v>52</v>
      </c>
      <c r="E31" s="93" t="s">
        <v>31</v>
      </c>
      <c r="F31" s="93" t="s">
        <v>31</v>
      </c>
      <c r="G31" s="94" t="s">
        <v>31</v>
      </c>
      <c r="H31" s="95" t="s">
        <v>31</v>
      </c>
      <c r="I31" s="95" t="s">
        <v>31</v>
      </c>
      <c r="J31" s="94" t="s">
        <v>31</v>
      </c>
    </row>
    <row r="32" ht="35" customHeight="1" spans="1:10" x14ac:dyDescent="0.25">
      <c r="A32" t="s">
        <v>31</v>
      </c>
      <c r="B32" s="101">
        <v>29</v>
      </c>
      <c r="C32" s="86" t="s">
        <v>195</v>
      </c>
      <c r="D32" s="87" t="s">
        <v>52</v>
      </c>
      <c r="E32" s="88" t="s">
        <v>31</v>
      </c>
      <c r="F32" s="88" t="s">
        <v>31</v>
      </c>
      <c r="G32" s="89" t="s">
        <v>31</v>
      </c>
      <c r="H32" s="90" t="s">
        <v>31</v>
      </c>
      <c r="I32" s="90" t="s">
        <v>31</v>
      </c>
      <c r="J32" s="89" t="s">
        <v>31</v>
      </c>
    </row>
    <row r="33" ht="35" customHeight="1" spans="1:10" x14ac:dyDescent="0.25">
      <c r="A33" t="s">
        <v>31</v>
      </c>
      <c r="B33" s="100">
        <v>30</v>
      </c>
      <c r="C33" s="92" t="s">
        <v>201</v>
      </c>
      <c r="D33" s="87" t="s">
        <v>52</v>
      </c>
      <c r="E33" s="93" t="s">
        <v>31</v>
      </c>
      <c r="F33" s="93" t="s">
        <v>31</v>
      </c>
      <c r="G33" s="94" t="s">
        <v>31</v>
      </c>
      <c r="H33" s="95" t="s">
        <v>31</v>
      </c>
      <c r="I33" s="95" t="s">
        <v>31</v>
      </c>
      <c r="J33" s="94" t="s">
        <v>31</v>
      </c>
    </row>
    <row r="35" ht="15" customHeight="1" spans="2:10" x14ac:dyDescent="0.25">
      <c r="B35" t="s">
        <v>31</v>
      </c>
      <c r="C35"/>
      <c r="D35"/>
      <c r="E35"/>
      <c r="F35"/>
      <c r="G35"/>
      <c r="H35"/>
      <c r="I35"/>
      <c r="J35"/>
    </row>
    <row r="36" ht="35" customHeight="1" spans="2:3" x14ac:dyDescent="0.25">
      <c r="B36" s="5" t="s">
        <v>214</v>
      </c>
      <c r="C36" s="5"/>
    </row>
    <row r="37" ht="28" customHeight="1" spans="2:3" x14ac:dyDescent="0.25">
      <c r="B37" s="102" t="s">
        <v>209</v>
      </c>
      <c r="C37" s="103">
        <f>=COUNTIF(D4:D33,"✅ Completed")</f>
      </c>
    </row>
    <row r="38" ht="28" customHeight="1" spans="2:3" x14ac:dyDescent="0.25">
      <c r="B38" s="102" t="s">
        <v>215</v>
      </c>
      <c r="C38" s="103">
        <f>=COUNTIF(D4:D33,"🔄 In Progress")</f>
      </c>
    </row>
    <row r="39" ht="28" customHeight="1" spans="2:3" x14ac:dyDescent="0.25">
      <c r="B39" s="102" t="s">
        <v>216</v>
      </c>
      <c r="C39" s="103">
        <f>=COUNTIF(D4:D33,"⬜ Not Started")</f>
      </c>
    </row>
    <row r="40" ht="28" customHeight="1" spans="2:3" x14ac:dyDescent="0.25">
      <c r="B40" s="102" t="s">
        <v>217</v>
      </c>
      <c r="C40" s="103">
        <f>=IF(COUNTIF(D4:D33,"✅ Completed")&gt;0, TEXT(COUNTIF(D4:D33,"✅ Completed")/30*100,"0") &amp; "%", "0%")</f>
      </c>
    </row>
  </sheetData>
  <mergeCells count="4">
    <mergeCell ref="B1:J1"/>
    <mergeCell ref="B2:J2"/>
    <mergeCell ref="B35:J35"/>
    <mergeCell ref="B36:C36"/>
  </mergeCells>
  <conditionalFormatting sqref="D4:D33">
    <cfRule type="containsText" dxfId="3" priority="1">
      <formula>NOT(ISERROR(SEARCH("Completed",D4)))</formula>
    </cfRule>
    <cfRule type="containsText" dxfId="4" priority="2">
      <formula>NOT(ISERROR(SEARCH("In Progress",D4)))</formula>
    </cfRule>
  </conditionalFormatting>
  <dataValidations count="4">
    <dataValidation type="list" allowBlank="1" sqref="D10:D33">
      <formula1>"⬜ Not Started,🔄 In Progress,✅ Completed"</formula1>
    </dataValidation>
    <dataValidation type="list" allowBlank="1" sqref="D4:D33">
      <formula1>"⬜ Not Started,🔄 In Progress,✅ Completed"</formula1>
    </dataValidation>
    <dataValidation type="list" allowBlank="1" sqref="G10:G33">
      <formula1>"1 - Poor,2 - Fair,3 - Good,4 - Great,5 - Excellent"</formula1>
    </dataValidation>
    <dataValidation type="list" allowBlank="1" sqref="G4:G33">
      <formula1>"1 - Poor,2 - Fair,3 - Good,4 - Great,5 - Excellent"</formula1>
    </dataValidation>
  </dataValidations>
  <pageMargins left="0.3" right="0.3" top="0.5" bottom="0.5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4A574"/>
    <pageSetUpPr fitToPage="1"/>
  </sheetPr>
  <dimension ref="B1:F2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8" customWidth="1"/>
    <col min="3" max="4" width="40" customWidth="1"/>
    <col min="5" max="6" width="25" customWidth="1"/>
    <col min="7" max="7" width="3" customWidth="1"/>
  </cols>
  <sheetData>
    <row r="1" ht="40" customHeight="1" spans="2:6" x14ac:dyDescent="0.25">
      <c r="B1" s="83" t="s">
        <v>218</v>
      </c>
      <c r="C1" s="83"/>
      <c r="D1" s="83"/>
      <c r="E1" s="83"/>
      <c r="F1" s="83"/>
    </row>
    <row r="2" ht="22" customHeight="1" spans="2:6" x14ac:dyDescent="0.25">
      <c r="B2" s="14" t="s">
        <v>219</v>
      </c>
      <c r="C2" s="14"/>
      <c r="D2" s="14"/>
      <c r="E2" s="14"/>
      <c r="F2" s="14"/>
    </row>
    <row r="4" ht="35" customHeight="1" spans="2:6" x14ac:dyDescent="0.25">
      <c r="B4" s="104" t="s">
        <v>13</v>
      </c>
      <c r="C4" s="104"/>
      <c r="D4" s="104"/>
      <c r="E4" s="104"/>
      <c r="F4" s="104"/>
    </row>
    <row r="5" ht="50" customHeight="1" spans="2:6" x14ac:dyDescent="0.25">
      <c r="B5" s="105" t="s">
        <v>220</v>
      </c>
      <c r="C5" s="106" t="s">
        <v>221</v>
      </c>
      <c r="D5" s="106"/>
      <c r="E5" s="107" t="s">
        <v>31</v>
      </c>
      <c r="F5" s="107"/>
    </row>
    <row r="6" ht="50" customHeight="1" spans="2:6" x14ac:dyDescent="0.25">
      <c r="B6" s="105" t="s">
        <v>222</v>
      </c>
      <c r="C6" s="106" t="s">
        <v>223</v>
      </c>
      <c r="D6" s="106"/>
      <c r="E6" s="107" t="s">
        <v>31</v>
      </c>
      <c r="F6" s="107"/>
    </row>
    <row r="7" ht="50" customHeight="1" spans="2:6" x14ac:dyDescent="0.25">
      <c r="B7" s="105" t="s">
        <v>224</v>
      </c>
      <c r="C7" s="106" t="s">
        <v>225</v>
      </c>
      <c r="D7" s="106"/>
      <c r="E7" s="107" t="s">
        <v>31</v>
      </c>
      <c r="F7" s="107"/>
    </row>
    <row r="8" ht="50" customHeight="1" spans="2:6" x14ac:dyDescent="0.25">
      <c r="B8" s="105" t="s">
        <v>226</v>
      </c>
      <c r="C8" s="106" t="s">
        <v>227</v>
      </c>
      <c r="D8" s="106"/>
      <c r="E8" s="107" t="s">
        <v>31</v>
      </c>
      <c r="F8" s="107"/>
    </row>
    <row r="10" ht="35" customHeight="1" spans="2:6" x14ac:dyDescent="0.25">
      <c r="B10" s="108" t="s">
        <v>16</v>
      </c>
      <c r="C10" s="108"/>
      <c r="D10" s="108"/>
      <c r="E10" s="108"/>
      <c r="F10" s="108"/>
    </row>
    <row r="11" ht="50" customHeight="1" spans="2:6" x14ac:dyDescent="0.25">
      <c r="B11" s="105" t="s">
        <v>220</v>
      </c>
      <c r="C11" s="106" t="s">
        <v>221</v>
      </c>
      <c r="D11" s="106"/>
      <c r="E11" s="107" t="s">
        <v>31</v>
      </c>
      <c r="F11" s="107"/>
    </row>
    <row r="12" ht="50" customHeight="1" spans="2:6" x14ac:dyDescent="0.25">
      <c r="B12" s="105" t="s">
        <v>222</v>
      </c>
      <c r="C12" s="106" t="s">
        <v>223</v>
      </c>
      <c r="D12" s="106"/>
      <c r="E12" s="107" t="s">
        <v>31</v>
      </c>
      <c r="F12" s="107"/>
    </row>
    <row r="13" ht="50" customHeight="1" spans="2:6" x14ac:dyDescent="0.25">
      <c r="B13" s="105" t="s">
        <v>224</v>
      </c>
      <c r="C13" s="106" t="s">
        <v>225</v>
      </c>
      <c r="D13" s="106"/>
      <c r="E13" s="107" t="s">
        <v>31</v>
      </c>
      <c r="F13" s="107"/>
    </row>
    <row r="14" ht="50" customHeight="1" spans="2:6" x14ac:dyDescent="0.25">
      <c r="B14" s="105" t="s">
        <v>226</v>
      </c>
      <c r="C14" s="106" t="s">
        <v>227</v>
      </c>
      <c r="D14" s="106"/>
      <c r="E14" s="107" t="s">
        <v>31</v>
      </c>
      <c r="F14" s="107"/>
    </row>
    <row r="16" ht="35" customHeight="1" spans="2:6" x14ac:dyDescent="0.25">
      <c r="B16" s="109" t="s">
        <v>19</v>
      </c>
      <c r="C16" s="109"/>
      <c r="D16" s="109"/>
      <c r="E16" s="109"/>
      <c r="F16" s="109"/>
    </row>
    <row r="17" ht="50" customHeight="1" spans="2:6" x14ac:dyDescent="0.25">
      <c r="B17" s="105" t="s">
        <v>220</v>
      </c>
      <c r="C17" s="106" t="s">
        <v>221</v>
      </c>
      <c r="D17" s="106"/>
      <c r="E17" s="107" t="s">
        <v>31</v>
      </c>
      <c r="F17" s="107"/>
    </row>
    <row r="18" ht="50" customHeight="1" spans="2:6" x14ac:dyDescent="0.25">
      <c r="B18" s="105" t="s">
        <v>222</v>
      </c>
      <c r="C18" s="106" t="s">
        <v>223</v>
      </c>
      <c r="D18" s="106"/>
      <c r="E18" s="107" t="s">
        <v>31</v>
      </c>
      <c r="F18" s="107"/>
    </row>
    <row r="19" ht="50" customHeight="1" spans="2:6" x14ac:dyDescent="0.25">
      <c r="B19" s="105" t="s">
        <v>224</v>
      </c>
      <c r="C19" s="106" t="s">
        <v>225</v>
      </c>
      <c r="D19" s="106"/>
      <c r="E19" s="107" t="s">
        <v>31</v>
      </c>
      <c r="F19" s="107"/>
    </row>
    <row r="20" ht="50" customHeight="1" spans="2:6" x14ac:dyDescent="0.25">
      <c r="B20" s="105" t="s">
        <v>226</v>
      </c>
      <c r="C20" s="106" t="s">
        <v>227</v>
      </c>
      <c r="D20" s="106"/>
      <c r="E20" s="107" t="s">
        <v>31</v>
      </c>
      <c r="F20" s="107"/>
    </row>
    <row r="22" ht="35" customHeight="1" spans="2:6" x14ac:dyDescent="0.25">
      <c r="B22" s="110" t="s">
        <v>22</v>
      </c>
      <c r="C22" s="110"/>
      <c r="D22" s="110"/>
      <c r="E22" s="110"/>
      <c r="F22" s="110"/>
    </row>
    <row r="23" ht="50" customHeight="1" spans="2:6" x14ac:dyDescent="0.25">
      <c r="B23" s="105" t="s">
        <v>220</v>
      </c>
      <c r="C23" s="106" t="s">
        <v>221</v>
      </c>
      <c r="D23" s="106"/>
      <c r="E23" s="107" t="s">
        <v>31</v>
      </c>
      <c r="F23" s="107"/>
    </row>
    <row r="24" ht="50" customHeight="1" spans="2:6" x14ac:dyDescent="0.25">
      <c r="B24" s="105" t="s">
        <v>222</v>
      </c>
      <c r="C24" s="106" t="s">
        <v>223</v>
      </c>
      <c r="D24" s="106"/>
      <c r="E24" s="107" t="s">
        <v>31</v>
      </c>
      <c r="F24" s="107"/>
    </row>
    <row r="25" ht="50" customHeight="1" spans="2:6" x14ac:dyDescent="0.25">
      <c r="B25" s="105" t="s">
        <v>224</v>
      </c>
      <c r="C25" s="106" t="s">
        <v>225</v>
      </c>
      <c r="D25" s="106"/>
      <c r="E25" s="107" t="s">
        <v>31</v>
      </c>
      <c r="F25" s="107"/>
    </row>
    <row r="26" ht="50" customHeight="1" spans="2:6" x14ac:dyDescent="0.25">
      <c r="B26" s="105" t="s">
        <v>226</v>
      </c>
      <c r="C26" s="106" t="s">
        <v>227</v>
      </c>
      <c r="D26" s="106"/>
      <c r="E26" s="107" t="s">
        <v>31</v>
      </c>
      <c r="F26" s="107"/>
    </row>
  </sheetData>
  <mergeCells count="38">
    <mergeCell ref="B1:F1"/>
    <mergeCell ref="B2:F2"/>
    <mergeCell ref="B4:F4"/>
    <mergeCell ref="C5:D5"/>
    <mergeCell ref="E5:F5"/>
    <mergeCell ref="C6:D6"/>
    <mergeCell ref="E6:F6"/>
    <mergeCell ref="C7:D7"/>
    <mergeCell ref="E7:F7"/>
    <mergeCell ref="C8:D8"/>
    <mergeCell ref="E8:F8"/>
    <mergeCell ref="B10:F10"/>
    <mergeCell ref="C11:D11"/>
    <mergeCell ref="E11:F11"/>
    <mergeCell ref="C12:D12"/>
    <mergeCell ref="E12:F12"/>
    <mergeCell ref="C13:D13"/>
    <mergeCell ref="E13:F13"/>
    <mergeCell ref="C14:D14"/>
    <mergeCell ref="E14:F14"/>
    <mergeCell ref="B16:F16"/>
    <mergeCell ref="C17:D17"/>
    <mergeCell ref="E17:F17"/>
    <mergeCell ref="C18:D18"/>
    <mergeCell ref="E18:F18"/>
    <mergeCell ref="C19:D19"/>
    <mergeCell ref="E19:F19"/>
    <mergeCell ref="C20:D20"/>
    <mergeCell ref="E20:F20"/>
    <mergeCell ref="B22:F22"/>
    <mergeCell ref="C23:D23"/>
    <mergeCell ref="E23:F23"/>
    <mergeCell ref="C24:D24"/>
    <mergeCell ref="E24:F24"/>
    <mergeCell ref="C25:D25"/>
    <mergeCell ref="E25:F25"/>
    <mergeCell ref="C26:D26"/>
    <mergeCell ref="E26:F26"/>
  </mergeCells>
  <pageMargins left="0.3" right="0.3" top="0.5" bottom="0.5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16161"/>
    <pageSetUpPr fitToPage="1"/>
  </sheetPr>
  <dimension ref="A1:F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35" customWidth="1"/>
    <col min="4" max="4" width="55" customWidth="1"/>
    <col min="5" max="5" width="14" customWidth="1"/>
    <col min="6" max="6" width="12" customWidth="1"/>
    <col min="7" max="7" width="3" customWidth="1"/>
  </cols>
  <sheetData>
    <row r="1" ht="40" customHeight="1" spans="2:6" x14ac:dyDescent="0.25">
      <c r="B1" s="83" t="s">
        <v>228</v>
      </c>
      <c r="C1" s="83"/>
      <c r="D1" s="83"/>
      <c r="E1" s="83"/>
      <c r="F1" s="83"/>
    </row>
    <row r="2" ht="22" customHeight="1" spans="2:6" x14ac:dyDescent="0.25">
      <c r="B2" s="14" t="s">
        <v>229</v>
      </c>
      <c r="C2" s="14"/>
      <c r="D2" s="14"/>
      <c r="E2" s="14"/>
      <c r="F2" s="14"/>
    </row>
    <row r="3" ht="30" customHeight="1" spans="1:6" x14ac:dyDescent="0.25">
      <c r="A3" s="15" t="s">
        <v>31</v>
      </c>
      <c r="B3" s="15" t="s">
        <v>39</v>
      </c>
      <c r="C3" s="15" t="s">
        <v>230</v>
      </c>
      <c r="D3" s="15" t="s">
        <v>231</v>
      </c>
      <c r="E3" s="15" t="s">
        <v>232</v>
      </c>
      <c r="F3" s="15" t="s">
        <v>233</v>
      </c>
    </row>
    <row r="4" ht="32" customHeight="1" spans="1:6" x14ac:dyDescent="0.25">
      <c r="A4" t="s">
        <v>31</v>
      </c>
      <c r="B4" s="111" t="s">
        <v>234</v>
      </c>
      <c r="C4" s="112" t="s">
        <v>235</v>
      </c>
      <c r="D4" s="113" t="s">
        <v>236</v>
      </c>
      <c r="E4" s="114" t="s">
        <v>237</v>
      </c>
      <c r="F4" s="115" t="s">
        <v>238</v>
      </c>
    </row>
    <row r="5" ht="32" customHeight="1" spans="1:6" x14ac:dyDescent="0.25">
      <c r="A5" t="s">
        <v>31</v>
      </c>
      <c r="B5" s="35" t="s">
        <v>234</v>
      </c>
      <c r="C5" s="116" t="s">
        <v>239</v>
      </c>
      <c r="D5" s="117" t="s">
        <v>240</v>
      </c>
      <c r="E5" s="118" t="s">
        <v>241</v>
      </c>
      <c r="F5" s="119" t="s">
        <v>242</v>
      </c>
    </row>
    <row r="6" ht="32" customHeight="1" spans="1:6" x14ac:dyDescent="0.25">
      <c r="A6" t="s">
        <v>31</v>
      </c>
      <c r="B6" s="111" t="s">
        <v>234</v>
      </c>
      <c r="C6" s="112" t="s">
        <v>243</v>
      </c>
      <c r="D6" s="113" t="s">
        <v>244</v>
      </c>
      <c r="E6" s="114" t="s">
        <v>237</v>
      </c>
      <c r="F6" s="115" t="s">
        <v>245</v>
      </c>
    </row>
    <row r="7" ht="32" customHeight="1" spans="1:6" x14ac:dyDescent="0.25">
      <c r="A7" t="s">
        <v>31</v>
      </c>
      <c r="B7" s="35" t="s">
        <v>234</v>
      </c>
      <c r="C7" s="116" t="s">
        <v>246</v>
      </c>
      <c r="D7" s="117" t="s">
        <v>247</v>
      </c>
      <c r="E7" s="118" t="s">
        <v>237</v>
      </c>
      <c r="F7" s="119" t="s">
        <v>248</v>
      </c>
    </row>
    <row r="8" ht="32" customHeight="1" spans="1:6" x14ac:dyDescent="0.25">
      <c r="A8" t="s">
        <v>31</v>
      </c>
      <c r="B8" s="111" t="s">
        <v>234</v>
      </c>
      <c r="C8" s="112" t="s">
        <v>249</v>
      </c>
      <c r="D8" s="113" t="s">
        <v>250</v>
      </c>
      <c r="E8" s="114" t="s">
        <v>237</v>
      </c>
      <c r="F8" s="115" t="s">
        <v>251</v>
      </c>
    </row>
    <row r="9" ht="32" customHeight="1" spans="1:6" x14ac:dyDescent="0.25">
      <c r="A9" t="s">
        <v>31</v>
      </c>
      <c r="B9" s="35" t="s">
        <v>234</v>
      </c>
      <c r="C9" s="116" t="s">
        <v>252</v>
      </c>
      <c r="D9" s="117" t="s">
        <v>253</v>
      </c>
      <c r="E9" s="118" t="s">
        <v>237</v>
      </c>
      <c r="F9" s="119" t="s">
        <v>254</v>
      </c>
    </row>
    <row r="10" ht="32" customHeight="1" spans="1:6" x14ac:dyDescent="0.25">
      <c r="A10" t="s">
        <v>31</v>
      </c>
      <c r="B10" s="111" t="s">
        <v>234</v>
      </c>
      <c r="C10" s="112" t="s">
        <v>255</v>
      </c>
      <c r="D10" s="113" t="s">
        <v>256</v>
      </c>
      <c r="E10" s="114" t="s">
        <v>257</v>
      </c>
      <c r="F10" s="115" t="s">
        <v>242</v>
      </c>
    </row>
    <row r="11" ht="32" customHeight="1" spans="1:6" x14ac:dyDescent="0.25">
      <c r="A11" t="s">
        <v>31</v>
      </c>
      <c r="B11" s="42" t="s">
        <v>68</v>
      </c>
      <c r="C11" s="116" t="s">
        <v>258</v>
      </c>
      <c r="D11" s="117" t="s">
        <v>259</v>
      </c>
      <c r="E11" s="118" t="s">
        <v>260</v>
      </c>
      <c r="F11" s="119" t="s">
        <v>261</v>
      </c>
    </row>
    <row r="12" ht="32" customHeight="1" spans="1:6" x14ac:dyDescent="0.25">
      <c r="A12" t="s">
        <v>31</v>
      </c>
      <c r="B12" s="120" t="s">
        <v>68</v>
      </c>
      <c r="C12" s="112" t="s">
        <v>262</v>
      </c>
      <c r="D12" s="113" t="s">
        <v>263</v>
      </c>
      <c r="E12" s="114" t="s">
        <v>241</v>
      </c>
      <c r="F12" s="115" t="s">
        <v>261</v>
      </c>
    </row>
    <row r="13" ht="32" customHeight="1" spans="1:6" x14ac:dyDescent="0.25">
      <c r="A13" t="s">
        <v>31</v>
      </c>
      <c r="B13" s="42" t="s">
        <v>68</v>
      </c>
      <c r="C13" s="116" t="s">
        <v>264</v>
      </c>
      <c r="D13" s="117" t="s">
        <v>265</v>
      </c>
      <c r="E13" s="118" t="s">
        <v>241</v>
      </c>
      <c r="F13" s="119" t="s">
        <v>261</v>
      </c>
    </row>
    <row r="14" ht="32" customHeight="1" spans="1:6" x14ac:dyDescent="0.25">
      <c r="A14" t="s">
        <v>31</v>
      </c>
      <c r="B14" s="121" t="s">
        <v>266</v>
      </c>
      <c r="C14" s="112" t="s">
        <v>267</v>
      </c>
      <c r="D14" s="113" t="s">
        <v>268</v>
      </c>
      <c r="E14" s="114" t="s">
        <v>237</v>
      </c>
      <c r="F14" s="115" t="s">
        <v>269</v>
      </c>
    </row>
    <row r="15" ht="32" customHeight="1" spans="1:6" x14ac:dyDescent="0.25">
      <c r="A15" t="s">
        <v>31</v>
      </c>
      <c r="B15" s="67" t="s">
        <v>266</v>
      </c>
      <c r="C15" s="116" t="s">
        <v>270</v>
      </c>
      <c r="D15" s="117" t="s">
        <v>271</v>
      </c>
      <c r="E15" s="118" t="s">
        <v>237</v>
      </c>
      <c r="F15" s="119" t="s">
        <v>272</v>
      </c>
    </row>
    <row r="16" ht="32" customHeight="1" spans="1:6" x14ac:dyDescent="0.25">
      <c r="A16" t="s">
        <v>31</v>
      </c>
      <c r="B16" s="121" t="s">
        <v>266</v>
      </c>
      <c r="C16" s="112" t="s">
        <v>273</v>
      </c>
      <c r="D16" s="113" t="s">
        <v>274</v>
      </c>
      <c r="E16" s="114" t="s">
        <v>237</v>
      </c>
      <c r="F16" s="115" t="s">
        <v>275</v>
      </c>
    </row>
    <row r="17" ht="32" customHeight="1" spans="1:6" x14ac:dyDescent="0.25">
      <c r="A17" t="s">
        <v>31</v>
      </c>
      <c r="B17" s="67" t="s">
        <v>266</v>
      </c>
      <c r="C17" s="116" t="s">
        <v>276</v>
      </c>
      <c r="D17" s="117" t="s">
        <v>277</v>
      </c>
      <c r="E17" s="118" t="s">
        <v>278</v>
      </c>
      <c r="F17" s="119" t="s">
        <v>242</v>
      </c>
    </row>
    <row r="18" ht="32" customHeight="1" spans="1:6" x14ac:dyDescent="0.25">
      <c r="A18" t="s">
        <v>31</v>
      </c>
      <c r="B18" s="121" t="s">
        <v>266</v>
      </c>
      <c r="C18" s="112" t="s">
        <v>279</v>
      </c>
      <c r="D18" s="113" t="s">
        <v>280</v>
      </c>
      <c r="E18" s="114" t="s">
        <v>237</v>
      </c>
      <c r="F18" s="115" t="s">
        <v>281</v>
      </c>
    </row>
    <row r="19" ht="32" customHeight="1" spans="1:6" x14ac:dyDescent="0.25">
      <c r="A19" t="s">
        <v>31</v>
      </c>
      <c r="B19" s="72" t="s">
        <v>282</v>
      </c>
      <c r="C19" s="116" t="s">
        <v>283</v>
      </c>
      <c r="D19" s="117" t="s">
        <v>284</v>
      </c>
      <c r="E19" s="118" t="s">
        <v>237</v>
      </c>
      <c r="F19" s="119" t="s">
        <v>285</v>
      </c>
    </row>
    <row r="20" ht="32" customHeight="1" spans="1:6" x14ac:dyDescent="0.25">
      <c r="A20" t="s">
        <v>31</v>
      </c>
      <c r="B20" s="122" t="s">
        <v>282</v>
      </c>
      <c r="C20" s="112" t="s">
        <v>286</v>
      </c>
      <c r="D20" s="113" t="s">
        <v>287</v>
      </c>
      <c r="E20" s="114" t="s">
        <v>237</v>
      </c>
      <c r="F20" s="115" t="s">
        <v>288</v>
      </c>
    </row>
    <row r="21" ht="32" customHeight="1" spans="1:6" x14ac:dyDescent="0.25">
      <c r="A21" t="s">
        <v>31</v>
      </c>
      <c r="B21" s="72" t="s">
        <v>282</v>
      </c>
      <c r="C21" s="116" t="s">
        <v>289</v>
      </c>
      <c r="D21" s="117" t="s">
        <v>290</v>
      </c>
      <c r="E21" s="118" t="s">
        <v>237</v>
      </c>
      <c r="F21" s="119" t="s">
        <v>288</v>
      </c>
    </row>
    <row r="22" ht="32" customHeight="1" spans="1:6" x14ac:dyDescent="0.25">
      <c r="A22" t="s">
        <v>31</v>
      </c>
      <c r="B22" s="122" t="s">
        <v>282</v>
      </c>
      <c r="C22" s="112" t="s">
        <v>291</v>
      </c>
      <c r="D22" s="113" t="s">
        <v>292</v>
      </c>
      <c r="E22" s="114" t="s">
        <v>237</v>
      </c>
      <c r="F22" s="115" t="s">
        <v>293</v>
      </c>
    </row>
    <row r="23" ht="32" customHeight="1" spans="1:6" x14ac:dyDescent="0.25">
      <c r="A23" t="s">
        <v>31</v>
      </c>
      <c r="B23" s="72" t="s">
        <v>282</v>
      </c>
      <c r="C23" s="116" t="s">
        <v>294</v>
      </c>
      <c r="D23" s="117" t="s">
        <v>295</v>
      </c>
      <c r="E23" s="118" t="s">
        <v>237</v>
      </c>
      <c r="F23" s="119" t="s">
        <v>296</v>
      </c>
    </row>
    <row r="24" ht="32" customHeight="1" spans="1:6" x14ac:dyDescent="0.25">
      <c r="A24" t="s">
        <v>31</v>
      </c>
      <c r="B24" s="123" t="s">
        <v>169</v>
      </c>
      <c r="C24" s="112" t="s">
        <v>297</v>
      </c>
      <c r="D24" s="113" t="s">
        <v>298</v>
      </c>
      <c r="E24" s="114" t="s">
        <v>237</v>
      </c>
      <c r="F24" s="115" t="s">
        <v>299</v>
      </c>
    </row>
    <row r="25" ht="32" customHeight="1" spans="1:6" x14ac:dyDescent="0.25">
      <c r="A25" t="s">
        <v>31</v>
      </c>
      <c r="B25" s="124" t="s">
        <v>169</v>
      </c>
      <c r="C25" s="116" t="s">
        <v>300</v>
      </c>
      <c r="D25" s="117" t="s">
        <v>301</v>
      </c>
      <c r="E25" s="118" t="s">
        <v>237</v>
      </c>
      <c r="F25" s="119" t="s">
        <v>299</v>
      </c>
    </row>
    <row r="26" ht="32" customHeight="1" spans="1:6" x14ac:dyDescent="0.25">
      <c r="A26" t="s">
        <v>31</v>
      </c>
      <c r="B26" s="125" t="s">
        <v>302</v>
      </c>
      <c r="C26" s="112" t="s">
        <v>303</v>
      </c>
      <c r="D26" s="113" t="s">
        <v>304</v>
      </c>
      <c r="E26" s="114" t="s">
        <v>302</v>
      </c>
      <c r="F26" s="115" t="s">
        <v>305</v>
      </c>
    </row>
    <row r="27" ht="32" customHeight="1" spans="1:6" x14ac:dyDescent="0.25">
      <c r="A27" t="s">
        <v>31</v>
      </c>
      <c r="B27" s="126" t="s">
        <v>302</v>
      </c>
      <c r="C27" s="116" t="s">
        <v>306</v>
      </c>
      <c r="D27" s="117" t="s">
        <v>307</v>
      </c>
      <c r="E27" s="118" t="s">
        <v>302</v>
      </c>
      <c r="F27" s="119" t="s">
        <v>305</v>
      </c>
    </row>
    <row r="28" ht="32" customHeight="1" spans="1:6" x14ac:dyDescent="0.25">
      <c r="A28" t="s">
        <v>31</v>
      </c>
      <c r="B28" s="127" t="s">
        <v>308</v>
      </c>
      <c r="C28" s="112" t="s">
        <v>309</v>
      </c>
      <c r="D28" s="113" t="s">
        <v>310</v>
      </c>
      <c r="E28" s="114" t="s">
        <v>311</v>
      </c>
      <c r="F28" s="115" t="s">
        <v>14</v>
      </c>
    </row>
  </sheetData>
  <mergeCells count="2">
    <mergeCell ref="B1:F1"/>
    <mergeCell ref="B2:F2"/>
  </mergeCells>
  <hyperlinks>
    <hyperlink ref="C4" r:id="rId1" tooltip="https://docs.anthropic.com/en/docs/claude-code/overview"/>
    <hyperlink ref="C5" r:id="rId2" tooltip="https://github.com/anthropics/claude-code"/>
    <hyperlink ref="C6" r:id="rId3" tooltip="https://docs.anthropic.com/en/docs/claude-code/memory"/>
    <hyperlink ref="C7" r:id="rId4" tooltip="https://docs.anthropic.com/en/docs/claude-code/mcp"/>
    <hyperlink ref="C8" r:id="rId5" tooltip="https://docs.anthropic.com/en/docs/claude-code/hooks"/>
    <hyperlink ref="C9" r:id="rId6" tooltip="https://docs.anthropic.com/en/docs/claude-code/sdk"/>
    <hyperlink ref="C10" r:id="rId7" tooltip="https://docs.anthropic.com/en/api/getting-started"/>
    <hyperlink ref="C11" r:id="rId8" tooltip="https://docs.anthropic.com/en/docs/build-with-claude/prompt-engineering/overview"/>
    <hyperlink ref="C12" r:id="rId9" tooltip="https://github.com/anthropics/prompt-eng-interactive-tutorial"/>
    <hyperlink ref="C13" r:id="rId10" tooltip="https://github.com/anthropics/courses"/>
    <hyperlink ref="C14" r:id="rId11" tooltip="https://nodejs.org/docs/latest/api/"/>
    <hyperlink ref="C15" r:id="rId12" tooltip="https://git-scm.com/docs"/>
    <hyperlink ref="C16" r:id="rId13" tooltip="https://www.typescriptlang.org/docs/"/>
    <hyperlink ref="C17" r:id="rId14" tooltip="https://code.visualstudio.com/download"/>
    <hyperlink ref="C18" r:id="rId15" tooltip="https://eslint.org/docs/latest/"/>
    <hyperlink ref="C19" r:id="rId16" tooltip="https://expressjs.com/"/>
    <hyperlink ref="C20" r:id="rId17" tooltip="https://react.dev/"/>
    <hyperlink ref="C21" r:id="rId18" tooltip="https://tailwindcss.com/docs/installation"/>
    <hyperlink ref="C22" r:id="rId19" tooltip="https://jestjs.io/"/>
    <hyperlink ref="C23" r:id="rId20" tooltip="https://www.prisma.io/docs"/>
    <hyperlink ref="C24" r:id="rId21" tooltip="https://docs.docker.com/"/>
    <hyperlink ref="C25" r:id="rId22" tooltip="https://docs.github.com/en/actions"/>
    <hyperlink ref="C26" r:id="rId23" tooltip="https://leetcode.com/"/>
    <hyperlink ref="C27" r:id="rId24" tooltip="https://www.hackerrank.com/"/>
    <hyperlink ref="C28" r:id="rId25" tooltip="https://learn.deeplearning.ai/courses/claude-code-a-highly-agentic-coding-assistant/lesson/66b35/introduction"/>
  </hyperlinks>
  <pageMargins left="0.3" right="0.3" top="0.5" bottom="0.5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"/>
    <pageSetUpPr fitToPage="1"/>
  </sheetPr>
  <dimension ref="A1:I3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6" customWidth="1"/>
    <col min="4" max="4" width="38" customWidth="1"/>
    <col min="5" max="5" width="20" customWidth="1"/>
    <col min="6" max="6" width="55" customWidth="1"/>
    <col min="7" max="9" width="12" customWidth="1"/>
    <col min="10" max="10" width="3" customWidth="1"/>
  </cols>
  <sheetData>
    <row r="1" ht="40" customHeight="1" spans="2:9" x14ac:dyDescent="0.25">
      <c r="B1" s="128" t="s">
        <v>312</v>
      </c>
      <c r="C1" s="128"/>
      <c r="D1" s="128"/>
      <c r="E1" s="128"/>
      <c r="F1" s="128"/>
      <c r="G1" s="128"/>
      <c r="H1" s="128"/>
      <c r="I1" s="128"/>
    </row>
    <row r="2" ht="22" customHeight="1" spans="2:9" x14ac:dyDescent="0.25">
      <c r="B2" s="14" t="s">
        <v>313</v>
      </c>
      <c r="C2" s="14"/>
      <c r="D2" s="14"/>
      <c r="E2" s="14"/>
      <c r="F2" s="14"/>
      <c r="G2" s="14"/>
      <c r="H2" s="14"/>
      <c r="I2" s="14"/>
    </row>
    <row r="3" ht="20" customHeight="1" spans="2:9" x14ac:dyDescent="0.25">
      <c r="B3" s="129" t="s">
        <v>314</v>
      </c>
      <c r="C3" s="129"/>
      <c r="D3" s="129"/>
      <c r="E3" s="129"/>
      <c r="F3" s="129"/>
      <c r="G3" s="129"/>
      <c r="H3" s="129"/>
      <c r="I3" s="129"/>
    </row>
    <row r="4" ht="32" customHeight="1" spans="1:9" x14ac:dyDescent="0.25">
      <c r="A4" s="130" t="s">
        <v>31</v>
      </c>
      <c r="B4" s="130" t="s">
        <v>315</v>
      </c>
      <c r="C4" s="130" t="s">
        <v>39</v>
      </c>
      <c r="D4" s="130" t="s">
        <v>316</v>
      </c>
      <c r="E4" s="130" t="s">
        <v>317</v>
      </c>
      <c r="F4" s="130" t="s">
        <v>231</v>
      </c>
      <c r="G4" s="130" t="s">
        <v>233</v>
      </c>
      <c r="H4" s="130" t="s">
        <v>318</v>
      </c>
      <c r="I4" s="130" t="s">
        <v>319</v>
      </c>
    </row>
    <row r="5" ht="45" customHeight="1" spans="1:9" x14ac:dyDescent="0.25">
      <c r="A5" t="s">
        <v>31</v>
      </c>
      <c r="B5" s="131">
        <v>1</v>
      </c>
      <c r="C5" s="132" t="s">
        <v>234</v>
      </c>
      <c r="D5" s="133" t="s">
        <v>320</v>
      </c>
      <c r="E5" s="134" t="s">
        <v>321</v>
      </c>
      <c r="F5" s="135" t="s">
        <v>322</v>
      </c>
      <c r="G5" s="136" t="s">
        <v>14</v>
      </c>
      <c r="H5" s="137" t="s">
        <v>323</v>
      </c>
      <c r="I5" s="138" t="s">
        <v>324</v>
      </c>
    </row>
    <row r="6" ht="45" customHeight="1" spans="1:9" x14ac:dyDescent="0.25">
      <c r="A6" t="s">
        <v>31</v>
      </c>
      <c r="B6" s="139">
        <v>2</v>
      </c>
      <c r="C6" s="140" t="s">
        <v>234</v>
      </c>
      <c r="D6" s="141" t="s">
        <v>325</v>
      </c>
      <c r="E6" s="142" t="s">
        <v>326</v>
      </c>
      <c r="F6" s="143" t="s">
        <v>327</v>
      </c>
      <c r="G6" s="144" t="s">
        <v>238</v>
      </c>
      <c r="H6" s="145" t="s">
        <v>328</v>
      </c>
      <c r="I6" s="146" t="s">
        <v>324</v>
      </c>
    </row>
    <row r="7" ht="45" customHeight="1" spans="1:9" x14ac:dyDescent="0.25">
      <c r="A7" t="s">
        <v>31</v>
      </c>
      <c r="B7" s="131">
        <v>3</v>
      </c>
      <c r="C7" s="147" t="s">
        <v>329</v>
      </c>
      <c r="D7" s="133" t="s">
        <v>330</v>
      </c>
      <c r="E7" s="134" t="s">
        <v>331</v>
      </c>
      <c r="F7" s="135" t="s">
        <v>332</v>
      </c>
      <c r="G7" s="136" t="s">
        <v>248</v>
      </c>
      <c r="H7" s="137" t="s">
        <v>333</v>
      </c>
      <c r="I7" s="138" t="s">
        <v>324</v>
      </c>
    </row>
    <row r="8" ht="45" customHeight="1" spans="1:9" x14ac:dyDescent="0.25">
      <c r="A8" t="s">
        <v>31</v>
      </c>
      <c r="B8" s="139">
        <v>4</v>
      </c>
      <c r="C8" s="148" t="s">
        <v>334</v>
      </c>
      <c r="D8" s="141" t="s">
        <v>335</v>
      </c>
      <c r="E8" s="142" t="s">
        <v>336</v>
      </c>
      <c r="F8" s="143" t="s">
        <v>337</v>
      </c>
      <c r="G8" s="144" t="s">
        <v>272</v>
      </c>
      <c r="H8" s="145" t="s">
        <v>338</v>
      </c>
      <c r="I8" s="146" t="s">
        <v>324</v>
      </c>
    </row>
    <row r="9" ht="45" customHeight="1" spans="1:9" x14ac:dyDescent="0.25">
      <c r="A9" t="s">
        <v>31</v>
      </c>
      <c r="B9" s="131">
        <v>5</v>
      </c>
      <c r="C9" s="149" t="s">
        <v>339</v>
      </c>
      <c r="D9" s="133" t="s">
        <v>340</v>
      </c>
      <c r="E9" s="134" t="s">
        <v>341</v>
      </c>
      <c r="F9" s="135" t="s">
        <v>342</v>
      </c>
      <c r="G9" s="136" t="s">
        <v>343</v>
      </c>
      <c r="H9" s="137" t="s">
        <v>344</v>
      </c>
      <c r="I9" s="138" t="s">
        <v>324</v>
      </c>
    </row>
    <row r="10" ht="45" customHeight="1" spans="1:9" x14ac:dyDescent="0.25">
      <c r="A10" t="s">
        <v>31</v>
      </c>
      <c r="B10" s="139">
        <v>6</v>
      </c>
      <c r="C10" s="150" t="s">
        <v>345</v>
      </c>
      <c r="D10" s="141" t="s">
        <v>346</v>
      </c>
      <c r="E10" s="142" t="s">
        <v>331</v>
      </c>
      <c r="F10" s="143" t="s">
        <v>347</v>
      </c>
      <c r="G10" s="144" t="s">
        <v>348</v>
      </c>
      <c r="H10" s="145" t="s">
        <v>349</v>
      </c>
      <c r="I10" s="146" t="s">
        <v>324</v>
      </c>
    </row>
    <row r="11" ht="45" customHeight="1" spans="1:9" x14ac:dyDescent="0.25">
      <c r="A11" t="s">
        <v>31</v>
      </c>
      <c r="B11" s="131">
        <v>7</v>
      </c>
      <c r="C11" s="151" t="s">
        <v>283</v>
      </c>
      <c r="D11" s="133" t="s">
        <v>350</v>
      </c>
      <c r="E11" s="134" t="s">
        <v>341</v>
      </c>
      <c r="F11" s="135" t="s">
        <v>351</v>
      </c>
      <c r="G11" s="136" t="s">
        <v>285</v>
      </c>
      <c r="H11" s="137" t="s">
        <v>352</v>
      </c>
      <c r="I11" s="138" t="s">
        <v>324</v>
      </c>
    </row>
    <row r="12" ht="45" customHeight="1" spans="1:9" x14ac:dyDescent="0.25">
      <c r="A12" t="s">
        <v>31</v>
      </c>
      <c r="B12" s="139">
        <v>8</v>
      </c>
      <c r="C12" s="152" t="s">
        <v>106</v>
      </c>
      <c r="D12" s="141" t="s">
        <v>353</v>
      </c>
      <c r="E12" s="142" t="s">
        <v>341</v>
      </c>
      <c r="F12" s="143" t="s">
        <v>354</v>
      </c>
      <c r="G12" s="144" t="s">
        <v>293</v>
      </c>
      <c r="H12" s="145" t="s">
        <v>355</v>
      </c>
      <c r="I12" s="146" t="s">
        <v>324</v>
      </c>
    </row>
    <row r="13" ht="45" customHeight="1" spans="1:9" x14ac:dyDescent="0.25">
      <c r="A13" t="s">
        <v>31</v>
      </c>
      <c r="B13" s="131">
        <v>9</v>
      </c>
      <c r="C13" s="153" t="s">
        <v>356</v>
      </c>
      <c r="D13" s="133" t="s">
        <v>357</v>
      </c>
      <c r="E13" s="134" t="s">
        <v>341</v>
      </c>
      <c r="F13" s="135" t="s">
        <v>358</v>
      </c>
      <c r="G13" s="136" t="s">
        <v>288</v>
      </c>
      <c r="H13" s="137" t="s">
        <v>359</v>
      </c>
      <c r="I13" s="138" t="s">
        <v>324</v>
      </c>
    </row>
    <row r="14" ht="45" customHeight="1" spans="1:9" x14ac:dyDescent="0.25">
      <c r="A14" t="s">
        <v>31</v>
      </c>
      <c r="B14" s="139">
        <v>10</v>
      </c>
      <c r="C14" s="154" t="s">
        <v>289</v>
      </c>
      <c r="D14" s="141" t="s">
        <v>360</v>
      </c>
      <c r="E14" s="142" t="s">
        <v>361</v>
      </c>
      <c r="F14" s="143" t="s">
        <v>362</v>
      </c>
      <c r="G14" s="144" t="s">
        <v>288</v>
      </c>
      <c r="H14" s="145" t="s">
        <v>363</v>
      </c>
      <c r="I14" s="146" t="s">
        <v>324</v>
      </c>
    </row>
    <row r="15" ht="45" customHeight="1" spans="1:9" x14ac:dyDescent="0.25">
      <c r="A15" t="s">
        <v>31</v>
      </c>
      <c r="B15" s="131">
        <v>11</v>
      </c>
      <c r="C15" s="155" t="s">
        <v>294</v>
      </c>
      <c r="D15" s="133" t="s">
        <v>364</v>
      </c>
      <c r="E15" s="134" t="s">
        <v>341</v>
      </c>
      <c r="F15" s="135" t="s">
        <v>365</v>
      </c>
      <c r="G15" s="136" t="s">
        <v>296</v>
      </c>
      <c r="H15" s="137" t="s">
        <v>366</v>
      </c>
      <c r="I15" s="138" t="s">
        <v>324</v>
      </c>
    </row>
    <row r="16" ht="45" customHeight="1" spans="1:9" x14ac:dyDescent="0.25">
      <c r="A16" t="s">
        <v>31</v>
      </c>
      <c r="B16" s="139">
        <v>12</v>
      </c>
      <c r="C16" s="156" t="s">
        <v>367</v>
      </c>
      <c r="D16" s="141" t="s">
        <v>368</v>
      </c>
      <c r="E16" s="142" t="s">
        <v>369</v>
      </c>
      <c r="F16" s="143" t="s">
        <v>370</v>
      </c>
      <c r="G16" s="144" t="s">
        <v>299</v>
      </c>
      <c r="H16" s="145" t="s">
        <v>359</v>
      </c>
      <c r="I16" s="146" t="s">
        <v>324</v>
      </c>
    </row>
    <row r="17" ht="45" customHeight="1" spans="1:9" x14ac:dyDescent="0.25">
      <c r="A17" t="s">
        <v>31</v>
      </c>
      <c r="B17" s="131">
        <v>13</v>
      </c>
      <c r="C17" s="157" t="s">
        <v>371</v>
      </c>
      <c r="D17" s="133" t="s">
        <v>372</v>
      </c>
      <c r="E17" s="134" t="s">
        <v>331</v>
      </c>
      <c r="F17" s="135" t="s">
        <v>373</v>
      </c>
      <c r="G17" s="136" t="s">
        <v>299</v>
      </c>
      <c r="H17" s="137" t="s">
        <v>374</v>
      </c>
      <c r="I17" s="138" t="s">
        <v>324</v>
      </c>
    </row>
    <row r="18" ht="45" customHeight="1" spans="1:9" x14ac:dyDescent="0.25">
      <c r="A18" t="s">
        <v>31</v>
      </c>
      <c r="B18" s="139">
        <v>14</v>
      </c>
      <c r="C18" s="158" t="s">
        <v>371</v>
      </c>
      <c r="D18" s="141" t="s">
        <v>375</v>
      </c>
      <c r="E18" s="142" t="s">
        <v>331</v>
      </c>
      <c r="F18" s="143" t="s">
        <v>376</v>
      </c>
      <c r="G18" s="144" t="s">
        <v>299</v>
      </c>
      <c r="H18" s="145" t="s">
        <v>349</v>
      </c>
      <c r="I18" s="146" t="s">
        <v>324</v>
      </c>
    </row>
    <row r="19" ht="45" customHeight="1" spans="1:9" x14ac:dyDescent="0.25">
      <c r="A19" t="s">
        <v>31</v>
      </c>
      <c r="B19" s="131">
        <v>15</v>
      </c>
      <c r="C19" s="159" t="s">
        <v>377</v>
      </c>
      <c r="D19" s="133" t="s">
        <v>378</v>
      </c>
      <c r="E19" s="134" t="s">
        <v>379</v>
      </c>
      <c r="F19" s="135" t="s">
        <v>380</v>
      </c>
      <c r="G19" s="136" t="s">
        <v>261</v>
      </c>
      <c r="H19" s="137" t="s">
        <v>381</v>
      </c>
      <c r="I19" s="138" t="s">
        <v>324</v>
      </c>
    </row>
    <row r="21" ht="15" customHeight="1" x14ac:dyDescent="0.25"/>
    <row r="22" ht="35" customHeight="1" spans="2:9" x14ac:dyDescent="0.25">
      <c r="B22" s="160" t="s">
        <v>382</v>
      </c>
      <c r="C22" s="160"/>
      <c r="D22" s="160"/>
      <c r="E22" s="160"/>
      <c r="F22" s="160"/>
      <c r="G22" s="160"/>
      <c r="H22" s="160"/>
      <c r="I22" s="160"/>
    </row>
    <row r="23" ht="22" customHeight="1" spans="2:9" x14ac:dyDescent="0.25">
      <c r="B23" s="14" t="s">
        <v>383</v>
      </c>
      <c r="C23" s="14"/>
      <c r="D23" s="14"/>
      <c r="E23" s="14"/>
      <c r="F23" s="14"/>
      <c r="G23" s="14"/>
      <c r="H23" s="14"/>
      <c r="I23" s="14"/>
    </row>
    <row r="24" ht="28" customHeight="1" spans="1:9" x14ac:dyDescent="0.25">
      <c r="A24" s="161" t="s">
        <v>31</v>
      </c>
      <c r="B24" s="161" t="s">
        <v>31</v>
      </c>
      <c r="C24" s="161" t="s">
        <v>317</v>
      </c>
      <c r="D24" s="161" t="s">
        <v>384</v>
      </c>
      <c r="E24" s="161" t="s">
        <v>31</v>
      </c>
      <c r="F24" s="161" t="s">
        <v>385</v>
      </c>
      <c r="G24" s="161" t="s">
        <v>31</v>
      </c>
      <c r="H24" s="161" t="s">
        <v>31</v>
      </c>
      <c r="I24" s="161" t="s">
        <v>31</v>
      </c>
    </row>
    <row r="25" ht="32" customHeight="1" spans="2:9" x14ac:dyDescent="0.25">
      <c r="B25" s="162">
        <v>1</v>
      </c>
      <c r="C25" s="163" t="s">
        <v>331</v>
      </c>
      <c r="D25" s="164" t="s">
        <v>386</v>
      </c>
      <c r="E25" s="164"/>
      <c r="F25" s="113" t="s">
        <v>387</v>
      </c>
      <c r="G25" s="113"/>
      <c r="H25" s="113"/>
      <c r="I25" s="113"/>
    </row>
    <row r="26" ht="32" customHeight="1" spans="2:9" x14ac:dyDescent="0.25">
      <c r="B26" s="165">
        <v>2</v>
      </c>
      <c r="C26" s="166" t="s">
        <v>341</v>
      </c>
      <c r="D26" s="167" t="s">
        <v>388</v>
      </c>
      <c r="E26" s="167"/>
      <c r="F26" s="117" t="s">
        <v>389</v>
      </c>
      <c r="G26" s="117"/>
      <c r="H26" s="117"/>
      <c r="I26" s="117"/>
    </row>
    <row r="27" ht="32" customHeight="1" spans="2:9" x14ac:dyDescent="0.25">
      <c r="B27" s="162">
        <v>3</v>
      </c>
      <c r="C27" s="163" t="s">
        <v>336</v>
      </c>
      <c r="D27" s="164" t="s">
        <v>390</v>
      </c>
      <c r="E27" s="164"/>
      <c r="F27" s="113" t="s">
        <v>391</v>
      </c>
      <c r="G27" s="113"/>
      <c r="H27" s="113"/>
      <c r="I27" s="113"/>
    </row>
    <row r="28" ht="32" customHeight="1" spans="2:9" x14ac:dyDescent="0.25">
      <c r="B28" s="165">
        <v>4</v>
      </c>
      <c r="C28" s="166" t="s">
        <v>369</v>
      </c>
      <c r="D28" s="167" t="s">
        <v>392</v>
      </c>
      <c r="E28" s="167"/>
      <c r="F28" s="117" t="s">
        <v>393</v>
      </c>
      <c r="G28" s="117"/>
      <c r="H28" s="117"/>
      <c r="I28" s="117"/>
    </row>
    <row r="29" ht="32" customHeight="1" spans="2:9" x14ac:dyDescent="0.25">
      <c r="B29" s="162">
        <v>5</v>
      </c>
      <c r="C29" s="163" t="s">
        <v>361</v>
      </c>
      <c r="D29" s="164" t="s">
        <v>394</v>
      </c>
      <c r="E29" s="164"/>
      <c r="F29" s="113" t="s">
        <v>395</v>
      </c>
      <c r="G29" s="113"/>
      <c r="H29" s="113"/>
      <c r="I29" s="113"/>
    </row>
    <row r="30" ht="32" customHeight="1" spans="2:9" x14ac:dyDescent="0.25">
      <c r="B30" s="165">
        <v>6</v>
      </c>
      <c r="C30" s="166" t="s">
        <v>396</v>
      </c>
      <c r="D30" s="167" t="s">
        <v>397</v>
      </c>
      <c r="E30" s="167"/>
      <c r="F30" s="117" t="s">
        <v>398</v>
      </c>
      <c r="G30" s="117"/>
      <c r="H30" s="117"/>
      <c r="I30" s="117"/>
    </row>
  </sheetData>
  <mergeCells count="17">
    <mergeCell ref="B1:I1"/>
    <mergeCell ref="B2:I2"/>
    <mergeCell ref="B3:I3"/>
    <mergeCell ref="B22:I22"/>
    <mergeCell ref="B23:I23"/>
    <mergeCell ref="D25:E25"/>
    <mergeCell ref="F25:I25"/>
    <mergeCell ref="D26:E26"/>
    <mergeCell ref="F26:I26"/>
    <mergeCell ref="D27:E27"/>
    <mergeCell ref="F27:I27"/>
    <mergeCell ref="D28:E28"/>
    <mergeCell ref="F28:I28"/>
    <mergeCell ref="D29:E29"/>
    <mergeCell ref="F29:I29"/>
    <mergeCell ref="D30:E30"/>
    <mergeCell ref="F30:I30"/>
  </mergeCells>
  <hyperlinks>
    <hyperlink ref="D5" r:id="rId1" tooltip="Watch: https://learn.deeplearning.ai/courses/claude-code-a-highly-agentic-coding-assistant/lesson/66b35/introduction"/>
    <hyperlink ref="D6" r:id="rId2" tooltip="Watch: https://youtu.be/GepHGs_CZdk"/>
    <hyperlink ref="D7" r:id="rId3" tooltip="Watch: https://www.youtube.com/watch?v=HyzlYwjoXOQ"/>
    <hyperlink ref="D8" r:id="rId4" tooltip="Watch: https://www.youtube.com/watch?v=RGOj5yH7evk"/>
    <hyperlink ref="D9" r:id="rId5" tooltip="Watch: https://youtu.be/32M1al-Y6Ag"/>
    <hyperlink ref="D10" r:id="rId6" tooltip="Watch: https://www.youtube.com/watch?v=zQnBQ4tB3ZA"/>
    <hyperlink ref="D11" r:id="rId7" tooltip="Watch: https://youtu.be/CnH3kAXSrmU"/>
    <hyperlink ref="D12" r:id="rId8" tooltip="Watch: https://youtu.be/7r4xVDI2vho"/>
    <hyperlink ref="D13" r:id="rId9" tooltip="Watch: https://youtu.be/LDB4uaJ87e0"/>
    <hyperlink ref="D14" r:id="rId10" tooltip="Watch: https://www.youtube.com/playlist?list=PL4cUxeGkcC9gpXORlEHjc5bgnIi5HEGhw"/>
    <hyperlink ref="D15" r:id="rId11" tooltip="Watch: https://youtu.be/CYH04BJzamo"/>
    <hyperlink ref="D16" r:id="rId12" tooltip="Watch: https://www.youtube.com/watch?v=3c-iBn73dDE"/>
    <hyperlink ref="D17" r:id="rId13" tooltip="Watch: https://youtu.be/eB0nUzAI7M8"/>
    <hyperlink ref="D18" r:id="rId14" tooltip="Watch: https://youtu.be/scEDHsr3APg"/>
    <hyperlink ref="D19" r:id="rId15" tooltip="Watch: https://github.com/anthropics/prompt-eng-interactive-tutorial"/>
    <hyperlink ref="D25" r:id="rId16" tooltip="Visit Fireship Channel"/>
    <hyperlink ref="D26" r:id="rId17" tooltip="Visit Traversy Media Channel"/>
    <hyperlink ref="D27" r:id="rId18" tooltip="Visit freeCodeCamp Channel"/>
    <hyperlink ref="D28" r:id="rId19" tooltip="Visit TechWorld with Nana Channel"/>
    <hyperlink ref="D29" r:id="rId20" tooltip="Visit Net Ninja Channel"/>
    <hyperlink ref="D30" r:id="rId21" tooltip="Visit Programming with Mosh Channel"/>
  </hyperlinks>
  <pageMargins left="0.3" right="0.3" top="0.5" bottom="0.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Curriculum</vt:lpstr>
      <vt:lpstr>Progress Tracker</vt:lpstr>
      <vt:lpstr>Weekly Summary</vt:lpstr>
      <vt:lpstr>Resources</vt:lpstr>
      <vt:lpstr>YouTube Learning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 Curriculum Generator</dc:creator>
  <dc:title/>
  <dc:subject/>
  <dc:description/>
  <cp:keywords/>
  <cp:category/>
  <cp:lastModifiedBy>Unknown</cp:lastModifiedBy>
  <dcterms:created xsi:type="dcterms:W3CDTF">2026-02-16T17:36:21Z</dcterms:created>
  <dcterms:modified xsi:type="dcterms:W3CDTF">2026-02-16T17:36:21Z</dcterms:modified>
</cp:coreProperties>
</file>